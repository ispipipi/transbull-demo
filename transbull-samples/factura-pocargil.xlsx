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ma\AppData\Local\Microsoft\Windows\INetCache\Content.Outlook\H2RWLKD0\"/>
    </mc:Choice>
  </mc:AlternateContent>
  <xr:revisionPtr revIDLastSave="0" documentId="13_ncr:1_{CE3DE81F-8D5C-4EDB-8B70-D2E6C07CD94F}" xr6:coauthVersionLast="47" xr6:coauthVersionMax="47" xr10:uidLastSave="{00000000-0000-0000-0000-000000000000}"/>
  <bookViews>
    <workbookView xWindow="-96" yWindow="0" windowWidth="20832" windowHeight="16656" xr2:uid="{054D9476-6ACA-4F42-9802-95E05DD9898E}"/>
  </bookViews>
  <sheets>
    <sheet name="extracción resumen " sheetId="9" r:id="rId1"/>
    <sheet name="factura" sheetId="3" r:id="rId2"/>
    <sheet name="packing" sheetId="1" r:id="rId3"/>
    <sheet name="dinamica factura" sheetId="6" r:id="rId4"/>
    <sheet name="dinamica packing" sheetId="7" r:id="rId5"/>
    <sheet name="union 2 dinamica" sheetId="8" r:id="rId6"/>
    <sheet name="dinamica unin 2" sheetId="10" r:id="rId7"/>
  </sheets>
  <definedNames>
    <definedName name="_xlnm._FilterDatabase" localSheetId="2" hidden="1">packing!$A$4:$G$47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3" l="1"/>
  <c r="G49" i="1"/>
  <c r="F49" i="1"/>
  <c r="C49" i="1"/>
</calcChain>
</file>

<file path=xl/sharedStrings.xml><?xml version="1.0" encoding="utf-8"?>
<sst xmlns="http://schemas.openxmlformats.org/spreadsheetml/2006/main" count="590" uniqueCount="96">
  <si>
    <t>encomende</t>
  </si>
  <si>
    <t>packing</t>
  </si>
  <si>
    <t>unid</t>
  </si>
  <si>
    <t>pne</t>
  </si>
  <si>
    <t>pbruto</t>
  </si>
  <si>
    <t>cant</t>
  </si>
  <si>
    <t>t240002</t>
  </si>
  <si>
    <t>p23001307</t>
  </si>
  <si>
    <t>un</t>
  </si>
  <si>
    <t>t240003</t>
  </si>
  <si>
    <t>t240004</t>
  </si>
  <si>
    <t>p23001308</t>
  </si>
  <si>
    <t>p23001343</t>
  </si>
  <si>
    <t>t240007</t>
  </si>
  <si>
    <t>t240008</t>
  </si>
  <si>
    <t>p23001347</t>
  </si>
  <si>
    <t>t240012</t>
  </si>
  <si>
    <t>p23001333</t>
  </si>
  <si>
    <t>mt</t>
  </si>
  <si>
    <t>t240014</t>
  </si>
  <si>
    <t>p23001291</t>
  </si>
  <si>
    <t>colis</t>
  </si>
  <si>
    <t>t240015</t>
  </si>
  <si>
    <t>p23001264</t>
  </si>
  <si>
    <t>t240016</t>
  </si>
  <si>
    <t>p23001290</t>
  </si>
  <si>
    <t>t240017</t>
  </si>
  <si>
    <t>p23001354</t>
  </si>
  <si>
    <t>t240018</t>
  </si>
  <si>
    <t>p24000003</t>
  </si>
  <si>
    <t>t240020</t>
  </si>
  <si>
    <t>p23001325</t>
  </si>
  <si>
    <t>t240023</t>
  </si>
  <si>
    <t>t240024</t>
  </si>
  <si>
    <t>t240025</t>
  </si>
  <si>
    <t>p23001259</t>
  </si>
  <si>
    <t>t240026</t>
  </si>
  <si>
    <t>p23001350</t>
  </si>
  <si>
    <t>t240028</t>
  </si>
  <si>
    <t>t240029</t>
  </si>
  <si>
    <t>t240030</t>
  </si>
  <si>
    <t>p23001257</t>
  </si>
  <si>
    <t>t240031</t>
  </si>
  <si>
    <t>t240032</t>
  </si>
  <si>
    <t>t240033</t>
  </si>
  <si>
    <t>p23001283</t>
  </si>
  <si>
    <t>t240034</t>
  </si>
  <si>
    <t>t240035</t>
  </si>
  <si>
    <t>t240036</t>
  </si>
  <si>
    <t>p23001266</t>
  </si>
  <si>
    <t>t240037</t>
  </si>
  <si>
    <t>t240038</t>
  </si>
  <si>
    <t>t240039</t>
  </si>
  <si>
    <t>p23001355</t>
  </si>
  <si>
    <t>t240040</t>
  </si>
  <si>
    <t>t240041</t>
  </si>
  <si>
    <t>t240042</t>
  </si>
  <si>
    <t>a240002</t>
  </si>
  <si>
    <t>p23001322</t>
  </si>
  <si>
    <t>a240003</t>
  </si>
  <si>
    <t>p23001346</t>
  </si>
  <si>
    <t>a240004</t>
  </si>
  <si>
    <t>a240005</t>
  </si>
  <si>
    <t>a240006</t>
  </si>
  <si>
    <t>a240008</t>
  </si>
  <si>
    <t>a240009</t>
  </si>
  <si>
    <t>a240010</t>
  </si>
  <si>
    <t>p23001263</t>
  </si>
  <si>
    <t>a240011</t>
  </si>
  <si>
    <t>s000041</t>
  </si>
  <si>
    <t>t240013</t>
  </si>
  <si>
    <t>p23001267</t>
  </si>
  <si>
    <t>t240005</t>
  </si>
  <si>
    <t>Etiquetas de fila</t>
  </si>
  <si>
    <t>Total general</t>
  </si>
  <si>
    <t>Suma de pne</t>
  </si>
  <si>
    <t>Suma de pbruto</t>
  </si>
  <si>
    <t>Suma de colis</t>
  </si>
  <si>
    <t>encomi</t>
  </si>
  <si>
    <t>partida</t>
  </si>
  <si>
    <t>importe</t>
  </si>
  <si>
    <t>albarab</t>
  </si>
  <si>
    <t>s00000041</t>
  </si>
  <si>
    <t>p23001286</t>
  </si>
  <si>
    <t>Suma de partida</t>
  </si>
  <si>
    <t>Suma de importe</t>
  </si>
  <si>
    <t>albaran</t>
  </si>
  <si>
    <t>bx</t>
  </si>
  <si>
    <t>neto</t>
  </si>
  <si>
    <t>bruto</t>
  </si>
  <si>
    <t>Suma de bx</t>
  </si>
  <si>
    <t>Suma de neto</t>
  </si>
  <si>
    <t>Suma de bruto</t>
  </si>
  <si>
    <t>fra</t>
  </si>
  <si>
    <t xml:space="preserve"> 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</si>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</sst>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indent="1"/>
    </xf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" refreshedDate="45300.584478124998" createdVersion="8" refreshedVersion="8" minRefreshableVersion="3" recordCount="62" xr:uid="{0AA64F92-1F1D-4E18-AFF1-24DA5ACD760B}">
  <cacheSource type="worksheet">
    <worksheetSource ref="B3:E65" sheet="factura"/>
  </cacheSource>
  <cacheFields count="5">
    <cacheField name="encomi" numFmtId="0">
      <sharedItems count="22">
        <s v="p23001307"/>
        <s v="p23001308"/>
        <s v="p23001257"/>
        <s v="p23001322"/>
        <s v="p23001346"/>
        <s v="p24000003"/>
        <s v="p23001259"/>
        <s v="p23001355"/>
        <s v="p23001325"/>
        <s v="p23001263"/>
        <s v="s00000041"/>
        <s v="p23001343"/>
        <s v="p23001347"/>
        <s v="p23001333"/>
        <s v="p23001267"/>
        <s v="p23001291"/>
        <s v="p23001264"/>
        <s v="p23001290"/>
        <s v="p23001354"/>
        <s v="p23001350"/>
        <s v="p23001286"/>
        <s v="p23001266"/>
      </sharedItems>
    </cacheField>
    <cacheField name="albarab" numFmtId="0">
      <sharedItems count="41">
        <s v="t240002"/>
        <s v="t240003"/>
        <s v="t240004"/>
        <s v="t240030"/>
        <s v="a240002"/>
        <s v="a240003"/>
        <s v="a240004"/>
        <s v="a240005"/>
        <s v="a240006"/>
        <s v="a240008"/>
        <s v="a240009"/>
        <s v="a240010"/>
        <s v="a240011"/>
        <s v="t240005"/>
        <s v="t240007"/>
        <s v="t240008"/>
        <s v="t240012"/>
        <s v="t240013"/>
        <s v="t240014"/>
        <s v="t240015"/>
        <s v="t240016"/>
        <s v="t240017"/>
        <s v="t240018"/>
        <s v="t240020"/>
        <s v="t240023"/>
        <s v="t240024"/>
        <s v="t240025"/>
        <s v="t240026"/>
        <s v="t240028"/>
        <s v="t240029"/>
        <s v="t240031"/>
        <s v="t240033"/>
        <s v="t240034"/>
        <s v="t240035"/>
        <s v="t240036"/>
        <s v="t240037"/>
        <s v="t240038"/>
        <s v="t240039"/>
        <s v="t240040"/>
        <s v="t240041"/>
        <s v="t240042"/>
      </sharedItems>
    </cacheField>
    <cacheField name="jdjdhdbgj" numFmtId="0">
      <sharedItems containsSemiMixedTypes="0" containsString="0" containsNumber="1" containsInteger="1" minValue="1" maxValue="1"/>
    </cacheField>
    <cacheField name="partida" numFmtId="0">
      <sharedItems containsSemiMixedTypes="0" containsString="0" containsNumber="1" containsInteger="1" minValue="401910" maxValue="5808900000" count="21">
        <n v="611790"/>
        <n v="610462"/>
        <n v="610910"/>
        <n v="40021910"/>
        <n v="85340090"/>
        <n v="580610"/>
        <n v="960719"/>
        <n v="401910"/>
        <n v="400219101"/>
        <n v="59019000"/>
        <n v="5808900000"/>
        <n v="49192000"/>
        <n v="3919108090"/>
        <n v="3920431090"/>
        <n v="39232990"/>
        <n v="48192000"/>
        <n v="39232910"/>
        <n v="3920431099"/>
        <n v="600632"/>
        <n v="600622"/>
        <n v="600634"/>
      </sharedItems>
    </cacheField>
    <cacheField name="importe" numFmtId="44">
      <sharedItems containsSemiMixedTypes="0" containsString="0" containsNumber="1" minValue="1.5" maxValue="19681.5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" refreshedDate="45300.590850462962" createdVersion="8" refreshedVersion="8" minRefreshableVersion="3" recordCount="43" xr:uid="{B67158C5-84F7-4CF0-B791-064543106C31}">
  <cacheSource type="worksheet">
    <worksheetSource ref="A4:G47" sheet="packing"/>
  </cacheSource>
  <cacheFields count="7">
    <cacheField name="packing" numFmtId="0">
      <sharedItems count="42">
        <s v="t240002"/>
        <s v="t240003"/>
        <s v="t240004"/>
        <s v="t240005"/>
        <s v="t240007"/>
        <s v="t240008"/>
        <s v="t240012"/>
        <s v="t240013"/>
        <s v="t240014"/>
        <s v="t240015"/>
        <s v="t240016"/>
        <s v="t240017"/>
        <s v="t240018"/>
        <s v="t240020"/>
        <s v="t240023"/>
        <s v="t240024"/>
        <s v="t240025"/>
        <s v="t240026"/>
        <s v="t240028"/>
        <s v="t240029"/>
        <s v="t240030"/>
        <s v="t240031"/>
        <s v="t240032"/>
        <s v="t240033"/>
        <s v="t240034"/>
        <s v="t240035"/>
        <s v="t240036"/>
        <s v="t240037"/>
        <s v="t240038"/>
        <s v="t240039"/>
        <s v="t240040"/>
        <s v="t240041"/>
        <s v="t240042"/>
        <s v="a240002"/>
        <s v="a240003"/>
        <s v="a240004"/>
        <s v="a240005"/>
        <s v="a240006"/>
        <s v="a240008"/>
        <s v="a240009"/>
        <s v="a240010"/>
        <s v="a240011"/>
      </sharedItems>
    </cacheField>
    <cacheField name="encomende" numFmtId="0">
      <sharedItems count="23">
        <s v="p23001307"/>
        <s v="p23001308"/>
        <s v="p23001343"/>
        <s v="p23001346"/>
        <s v="p23001347"/>
        <s v="p23001333"/>
        <s v="p23001267"/>
        <s v="p23001291"/>
        <s v="p23001264"/>
        <s v="p23001290"/>
        <s v="p23001354"/>
        <s v="p24000003"/>
        <s v="p23001325"/>
        <s v="p23001259"/>
        <s v="p23001350"/>
        <s v="p23001257"/>
        <s v="p23001283"/>
        <s v="p23001266"/>
        <s v="p23001355"/>
        <s v="p23001322"/>
        <s v="p23001263"/>
        <s v="s000041"/>
        <s v="p23001345" u="1"/>
      </sharedItems>
    </cacheField>
    <cacheField name="colis" numFmtId="0">
      <sharedItems containsSemiMixedTypes="0" containsString="0" containsNumber="1" containsInteger="1" minValue="1" maxValue="87"/>
    </cacheField>
    <cacheField name="cant" numFmtId="0">
      <sharedItems containsSemiMixedTypes="0" containsString="0" containsNumber="1" minValue="1" maxValue="14000"/>
    </cacheField>
    <cacheField name="unid" numFmtId="0">
      <sharedItems/>
    </cacheField>
    <cacheField name="pne" numFmtId="3">
      <sharedItems containsSemiMixedTypes="0" containsString="0" containsNumber="1" minValue="0.93" maxValue="1606.9"/>
    </cacheField>
    <cacheField name="pbruto" numFmtId="3">
      <sharedItems containsSemiMixedTypes="0" containsString="0" containsNumber="1" minValue="1.33" maxValue="1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" refreshedDate="45300.594406365744" createdVersion="8" refreshedVersion="8" minRefreshableVersion="3" recordCount="43" xr:uid="{117B74BC-A95C-4A69-AC78-0783E66FDA49}">
  <cacheSource type="worksheet">
    <worksheetSource ref="B3:G46" sheet="extracción resumen "/>
  </cacheSource>
  <cacheFields count="6">
    <cacheField name="albaran" numFmtId="0">
      <sharedItems/>
    </cacheField>
    <cacheField name="bx" numFmtId="0">
      <sharedItems containsSemiMixedTypes="0" containsString="0" containsNumber="1" containsInteger="1" minValue="1" maxValue="87"/>
    </cacheField>
    <cacheField name="neto" numFmtId="0">
      <sharedItems containsSemiMixedTypes="0" containsString="0" containsNumber="1" minValue="0.93" maxValue="1606.9"/>
    </cacheField>
    <cacheField name="bruto" numFmtId="0">
      <sharedItems containsSemiMixedTypes="0" containsString="0" containsNumber="1" minValue="1.33" maxValue="1633"/>
    </cacheField>
    <cacheField name="importe" numFmtId="0">
      <sharedItems containsSemiMixedTypes="0" containsString="0" containsNumber="1" minValue="1.5" maxValue="19681.560000000001"/>
    </cacheField>
    <cacheField name="partisa" numFmtId="0">
      <sharedItems containsSemiMixedTypes="0" containsString="0" containsNumber="1" containsInteger="1" minValue="401910" maxValue="7927964170" count="19">
        <n v="610910"/>
        <n v="600622"/>
        <n v="1921438"/>
        <n v="59019000"/>
        <n v="1201244"/>
        <n v="600632"/>
        <n v="611790"/>
        <n v="40021910"/>
        <n v="610462"/>
        <n v="400219101"/>
        <n v="48192000"/>
        <n v="600634"/>
        <n v="7927964170"/>
        <n v="85920700"/>
        <n v="7926964090"/>
        <n v="7926964099"/>
        <n v="7878772099"/>
        <n v="401910"/>
        <n v="58089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n v="1"/>
    <x v="0"/>
    <n v="7954.8"/>
  </r>
  <r>
    <x v="0"/>
    <x v="1"/>
    <n v="1"/>
    <x v="0"/>
    <n v="7178.64"/>
  </r>
  <r>
    <x v="1"/>
    <x v="2"/>
    <n v="1"/>
    <x v="1"/>
    <n v="19681.560000000001"/>
  </r>
  <r>
    <x v="2"/>
    <x v="3"/>
    <n v="1"/>
    <x v="2"/>
    <n v="224.01"/>
  </r>
  <r>
    <x v="1"/>
    <x v="4"/>
    <n v="1"/>
    <x v="3"/>
    <n v="2225.71"/>
  </r>
  <r>
    <x v="3"/>
    <x v="4"/>
    <n v="1"/>
    <x v="3"/>
    <n v="109.34"/>
  </r>
  <r>
    <x v="4"/>
    <x v="5"/>
    <n v="1"/>
    <x v="4"/>
    <n v="74.73"/>
  </r>
  <r>
    <x v="4"/>
    <x v="5"/>
    <n v="1"/>
    <x v="5"/>
    <n v="35.1"/>
  </r>
  <r>
    <x v="5"/>
    <x v="6"/>
    <n v="1"/>
    <x v="3"/>
    <n v="152.32"/>
  </r>
  <r>
    <x v="6"/>
    <x v="7"/>
    <n v="1"/>
    <x v="6"/>
    <n v="242"/>
  </r>
  <r>
    <x v="6"/>
    <x v="7"/>
    <n v="1"/>
    <x v="6"/>
    <n v="220"/>
  </r>
  <r>
    <x v="7"/>
    <x v="8"/>
    <n v="1"/>
    <x v="7"/>
    <n v="30.6"/>
  </r>
  <r>
    <x v="5"/>
    <x v="9"/>
    <n v="1"/>
    <x v="8"/>
    <n v="159.36000000000001"/>
  </r>
  <r>
    <x v="8"/>
    <x v="10"/>
    <n v="1"/>
    <x v="8"/>
    <n v="446.25"/>
  </r>
  <r>
    <x v="9"/>
    <x v="11"/>
    <n v="1"/>
    <x v="9"/>
    <n v="280"/>
  </r>
  <r>
    <x v="10"/>
    <x v="12"/>
    <n v="1"/>
    <x v="10"/>
    <n v="1.5"/>
  </r>
  <r>
    <x v="11"/>
    <x v="13"/>
    <n v="1"/>
    <x v="11"/>
    <n v="3.8"/>
  </r>
  <r>
    <x v="11"/>
    <x v="13"/>
    <n v="1"/>
    <x v="12"/>
    <n v="3.7"/>
  </r>
  <r>
    <x v="11"/>
    <x v="13"/>
    <n v="1"/>
    <x v="13"/>
    <n v="6.3"/>
  </r>
  <r>
    <x v="11"/>
    <x v="13"/>
    <n v="1"/>
    <x v="14"/>
    <n v="52.75"/>
  </r>
  <r>
    <x v="4"/>
    <x v="14"/>
    <n v="1"/>
    <x v="12"/>
    <n v="1.6"/>
  </r>
  <r>
    <x v="4"/>
    <x v="14"/>
    <n v="1"/>
    <x v="15"/>
    <n v="28.8"/>
  </r>
  <r>
    <x v="4"/>
    <x v="14"/>
    <n v="1"/>
    <x v="13"/>
    <n v="6.3"/>
  </r>
  <r>
    <x v="4"/>
    <x v="14"/>
    <n v="1"/>
    <x v="16"/>
    <n v="26"/>
  </r>
  <r>
    <x v="12"/>
    <x v="15"/>
    <n v="1"/>
    <x v="12"/>
    <n v="1.6"/>
  </r>
  <r>
    <x v="12"/>
    <x v="15"/>
    <n v="1"/>
    <x v="15"/>
    <n v="20.93"/>
  </r>
  <r>
    <x v="12"/>
    <x v="15"/>
    <n v="1"/>
    <x v="17"/>
    <n v="6.3"/>
  </r>
  <r>
    <x v="12"/>
    <x v="15"/>
    <n v="1"/>
    <x v="16"/>
    <n v="13"/>
  </r>
  <r>
    <x v="13"/>
    <x v="16"/>
    <n v="1"/>
    <x v="18"/>
    <n v="9499"/>
  </r>
  <r>
    <x v="14"/>
    <x v="17"/>
    <n v="1"/>
    <x v="18"/>
    <n v="3523.31"/>
  </r>
  <r>
    <x v="15"/>
    <x v="18"/>
    <n v="1"/>
    <x v="0"/>
    <n v="8200"/>
  </r>
  <r>
    <x v="16"/>
    <x v="19"/>
    <n v="1"/>
    <x v="19"/>
    <n v="6787.2"/>
  </r>
  <r>
    <x v="17"/>
    <x v="20"/>
    <n v="1"/>
    <x v="19"/>
    <n v="17352.400000000001"/>
  </r>
  <r>
    <x v="18"/>
    <x v="21"/>
    <n v="1"/>
    <x v="12"/>
    <n v="1.6"/>
  </r>
  <r>
    <x v="18"/>
    <x v="21"/>
    <n v="1"/>
    <x v="17"/>
    <n v="6.3"/>
  </r>
  <r>
    <x v="18"/>
    <x v="21"/>
    <n v="1"/>
    <x v="16"/>
    <n v="10.4"/>
  </r>
  <r>
    <x v="5"/>
    <x v="22"/>
    <n v="1"/>
    <x v="11"/>
    <n v="1.9"/>
  </r>
  <r>
    <x v="5"/>
    <x v="22"/>
    <n v="1"/>
    <x v="12"/>
    <n v="1.85"/>
  </r>
  <r>
    <x v="5"/>
    <x v="22"/>
    <n v="1"/>
    <x v="13"/>
    <n v="6.3"/>
  </r>
  <r>
    <x v="5"/>
    <x v="22"/>
    <n v="1"/>
    <x v="14"/>
    <n v="44.08"/>
  </r>
  <r>
    <x v="8"/>
    <x v="23"/>
    <n v="1"/>
    <x v="15"/>
    <n v="107.63"/>
  </r>
  <r>
    <x v="17"/>
    <x v="24"/>
    <n v="1"/>
    <x v="0"/>
    <n v="9501"/>
  </r>
  <r>
    <x v="0"/>
    <x v="25"/>
    <n v="1"/>
    <x v="19"/>
    <n v="2096.16"/>
  </r>
  <r>
    <x v="6"/>
    <x v="26"/>
    <n v="1"/>
    <x v="19"/>
    <n v="2637"/>
  </r>
  <r>
    <x v="19"/>
    <x v="27"/>
    <n v="1"/>
    <x v="19"/>
    <n v="5421.85"/>
  </r>
  <r>
    <x v="16"/>
    <x v="28"/>
    <n v="1"/>
    <x v="19"/>
    <n v="11874.55"/>
  </r>
  <r>
    <x v="15"/>
    <x v="29"/>
    <n v="1"/>
    <x v="0"/>
    <n v="5163"/>
  </r>
  <r>
    <x v="2"/>
    <x v="30"/>
    <n v="1"/>
    <x v="19"/>
    <n v="16.75"/>
  </r>
  <r>
    <x v="13"/>
    <x v="30"/>
    <n v="1"/>
    <x v="18"/>
    <n v="3215.11"/>
  </r>
  <r>
    <x v="20"/>
    <x v="31"/>
    <n v="1"/>
    <x v="19"/>
    <n v="3840.44"/>
  </r>
  <r>
    <x v="15"/>
    <x v="32"/>
    <n v="1"/>
    <x v="19"/>
    <n v="836.66"/>
  </r>
  <r>
    <x v="8"/>
    <x v="33"/>
    <n v="1"/>
    <x v="20"/>
    <n v="7002.6"/>
  </r>
  <r>
    <x v="21"/>
    <x v="34"/>
    <n v="1"/>
    <x v="19"/>
    <n v="163.34"/>
  </r>
  <r>
    <x v="21"/>
    <x v="34"/>
    <n v="1"/>
    <x v="19"/>
    <n v="172.98"/>
  </r>
  <r>
    <x v="11"/>
    <x v="35"/>
    <n v="1"/>
    <x v="19"/>
    <n v="994.65"/>
  </r>
  <r>
    <x v="17"/>
    <x v="36"/>
    <n v="1"/>
    <x v="19"/>
    <n v="5010.2"/>
  </r>
  <r>
    <x v="17"/>
    <x v="36"/>
    <n v="1"/>
    <x v="19"/>
    <n v="450"/>
  </r>
  <r>
    <x v="7"/>
    <x v="37"/>
    <n v="1"/>
    <x v="18"/>
    <n v="1251"/>
  </r>
  <r>
    <x v="17"/>
    <x v="38"/>
    <n v="1"/>
    <x v="19"/>
    <n v="2670.2"/>
  </r>
  <r>
    <x v="21"/>
    <x v="39"/>
    <n v="1"/>
    <x v="19"/>
    <n v="1302.5"/>
  </r>
  <r>
    <x v="21"/>
    <x v="39"/>
    <n v="1"/>
    <x v="19"/>
    <n v="2037.75"/>
  </r>
  <r>
    <x v="17"/>
    <x v="40"/>
    <n v="1"/>
    <x v="19"/>
    <n v="57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n v="28"/>
    <n v="9470"/>
    <s v="un"/>
    <n v="343.45"/>
    <n v="371.45"/>
  </r>
  <r>
    <x v="1"/>
    <x v="0"/>
    <n v="25"/>
    <n v="8546"/>
    <s v="un"/>
    <n v="309.91000000000003"/>
    <n v="334.9"/>
  </r>
  <r>
    <x v="2"/>
    <x v="1"/>
    <n v="77"/>
    <n v="1508"/>
    <s v="un"/>
    <n v="1227.1099999999999"/>
    <n v="1304.1099999999999"/>
  </r>
  <r>
    <x v="3"/>
    <x v="2"/>
    <n v="1"/>
    <n v="1413"/>
    <s v="un"/>
    <n v="8.8000000000000007"/>
    <n v="9.3000000000000007"/>
  </r>
  <r>
    <x v="4"/>
    <x v="3"/>
    <n v="2"/>
    <n v="1852"/>
    <s v="un"/>
    <n v="36.1"/>
    <n v="37.1"/>
  </r>
  <r>
    <x v="5"/>
    <x v="4"/>
    <n v="1"/>
    <n v="1142"/>
    <s v="un"/>
    <n v="25.7"/>
    <n v="26.2"/>
  </r>
  <r>
    <x v="6"/>
    <x v="5"/>
    <n v="54"/>
    <n v="3220"/>
    <s v="mt"/>
    <n v="1044.8"/>
    <n v="1061"/>
  </r>
  <r>
    <x v="7"/>
    <x v="6"/>
    <n v="23"/>
    <n v="1155.18"/>
    <s v="mt"/>
    <n v="518"/>
    <n v="525"/>
  </r>
  <r>
    <x v="8"/>
    <x v="7"/>
    <n v="28"/>
    <n v="8200"/>
    <s v="mt"/>
    <n v="170.2"/>
    <n v="178.6"/>
  </r>
  <r>
    <x v="9"/>
    <x v="8"/>
    <n v="15"/>
    <n v="2424"/>
    <s v="mt"/>
    <n v="305.5"/>
    <n v="310"/>
  </r>
  <r>
    <x v="10"/>
    <x v="9"/>
    <n v="87"/>
    <n v="6943"/>
    <s v="mt"/>
    <n v="1606.9"/>
    <n v="1633"/>
  </r>
  <r>
    <x v="11"/>
    <x v="10"/>
    <n v="1"/>
    <n v="402"/>
    <s v="mt"/>
    <n v="4.87"/>
    <n v="5.37"/>
  </r>
  <r>
    <x v="12"/>
    <x v="11"/>
    <n v="1"/>
    <n v="1167"/>
    <s v="un"/>
    <n v="6.88"/>
    <n v="7.38"/>
  </r>
  <r>
    <x v="13"/>
    <x v="12"/>
    <n v="1"/>
    <n v="5250"/>
    <s v="un"/>
    <n v="174.5"/>
    <n v="187"/>
  </r>
  <r>
    <x v="14"/>
    <x v="9"/>
    <n v="25"/>
    <n v="9501"/>
    <s v="mt"/>
    <n v="203.9"/>
    <n v="211.4"/>
  </r>
  <r>
    <x v="15"/>
    <x v="0"/>
    <n v="12"/>
    <n v="727.83"/>
    <s v="mt"/>
    <n v="236.4"/>
    <n v="240"/>
  </r>
  <r>
    <x v="16"/>
    <x v="13"/>
    <n v="19"/>
    <n v="879"/>
    <s v="mt"/>
    <n v="308.3"/>
    <n v="314"/>
  </r>
  <r>
    <x v="17"/>
    <x v="14"/>
    <n v="39"/>
    <n v="2213"/>
    <s v="mt"/>
    <n v="805.3"/>
    <n v="817"/>
  </r>
  <r>
    <x v="18"/>
    <x v="8"/>
    <n v="37"/>
    <n v="5053"/>
    <s v="mt"/>
    <n v="607.9"/>
    <n v="619"/>
  </r>
  <r>
    <x v="19"/>
    <x v="7"/>
    <n v="12"/>
    <n v="5163"/>
    <s v="mt"/>
    <n v="116"/>
    <n v="119"/>
  </r>
  <r>
    <x v="20"/>
    <x v="15"/>
    <n v="1"/>
    <n v="57"/>
    <s v="un"/>
    <n v="12.64"/>
    <n v="13.64"/>
  </r>
  <r>
    <x v="21"/>
    <x v="15"/>
    <n v="1"/>
    <n v="6.25"/>
    <s v="mt"/>
    <n v="2.2000000000000002"/>
    <n v="2.5"/>
  </r>
  <r>
    <x v="22"/>
    <x v="5"/>
    <n v="19"/>
    <n v="1027.19"/>
    <s v="mt"/>
    <n v="351.3"/>
    <n v="357"/>
  </r>
  <r>
    <x v="23"/>
    <x v="16"/>
    <n v="19"/>
    <n v="1433"/>
    <s v="mt"/>
    <n v="275.3"/>
    <n v="281"/>
  </r>
  <r>
    <x v="24"/>
    <x v="7"/>
    <n v="4"/>
    <n v="308.73"/>
    <s v="mt"/>
    <n v="77"/>
    <n v="79"/>
  </r>
  <r>
    <x v="25"/>
    <x v="12"/>
    <n v="27"/>
    <n v="3183"/>
    <s v="mt"/>
    <n v="412.9"/>
    <n v="421"/>
  </r>
  <r>
    <x v="26"/>
    <x v="17"/>
    <n v="2"/>
    <n v="128.19999999999999"/>
    <s v="mt"/>
    <n v="33.4"/>
    <n v="34"/>
  </r>
  <r>
    <x v="27"/>
    <x v="2"/>
    <n v="7"/>
    <n v="349"/>
    <s v="mt"/>
    <n v="113.9"/>
    <n v="116"/>
  </r>
  <r>
    <x v="28"/>
    <x v="9"/>
    <n v="28"/>
    <n v="2107"/>
    <s v="mt"/>
    <n v="527.6"/>
    <n v="530"/>
  </r>
  <r>
    <x v="29"/>
    <x v="18"/>
    <n v="8"/>
    <n v="450"/>
    <s v="mt"/>
    <n v="186.6"/>
    <n v="189"/>
  </r>
  <r>
    <x v="30"/>
    <x v="9"/>
    <n v="14"/>
    <n v="1027"/>
    <s v="mt"/>
    <n v="234.8"/>
    <n v="239"/>
  </r>
  <r>
    <x v="31"/>
    <x v="17"/>
    <n v="20"/>
    <n v="1262"/>
    <s v="mt"/>
    <n v="348"/>
    <n v="354"/>
  </r>
  <r>
    <x v="32"/>
    <x v="9"/>
    <n v="32"/>
    <n v="2180"/>
    <s v="mt"/>
    <n v="529.4"/>
    <n v="539"/>
  </r>
  <r>
    <x v="33"/>
    <x v="1"/>
    <n v="34"/>
    <n v="5674"/>
    <s v="mt"/>
    <n v="438"/>
    <n v="472.87"/>
  </r>
  <r>
    <x v="33"/>
    <x v="19"/>
    <n v="2"/>
    <n v="770"/>
    <s v="mt"/>
    <n v="21"/>
    <n v="23.56"/>
  </r>
  <r>
    <x v="34"/>
    <x v="3"/>
    <n v="1"/>
    <n v="1760"/>
    <s v="mt"/>
    <n v="0.93"/>
    <n v="1.33"/>
  </r>
  <r>
    <x v="35"/>
    <x v="11"/>
    <n v="1"/>
    <n v="476"/>
    <s v="mt"/>
    <n v="9.52"/>
    <n v="10.52"/>
  </r>
  <r>
    <x v="36"/>
    <x v="13"/>
    <n v="2"/>
    <n v="2210"/>
    <s v="un"/>
    <n v="15.01"/>
    <n v="15.81"/>
  </r>
  <r>
    <x v="37"/>
    <x v="18"/>
    <n v="1"/>
    <n v="1800"/>
    <s v="mt"/>
    <n v="4.1399999999999997"/>
    <n v="4.3600000000000003"/>
  </r>
  <r>
    <x v="38"/>
    <x v="11"/>
    <n v="1"/>
    <n v="498"/>
    <s v="mt"/>
    <n v="9.9600000000000009"/>
    <n v="10.96"/>
  </r>
  <r>
    <x v="39"/>
    <x v="12"/>
    <n v="3"/>
    <n v="1785"/>
    <s v="mt"/>
    <n v="11.6"/>
    <n v="12.26"/>
  </r>
  <r>
    <x v="40"/>
    <x v="20"/>
    <n v="1"/>
    <n v="14000"/>
    <s v="mt"/>
    <n v="3.92"/>
    <n v="4.32"/>
  </r>
  <r>
    <x v="41"/>
    <x v="21"/>
    <n v="1"/>
    <n v="1"/>
    <s v="un"/>
    <n v="1.5"/>
    <n v="2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t240030"/>
    <n v="1"/>
    <n v="12.64"/>
    <n v="13.64"/>
    <n v="224.01"/>
    <x v="0"/>
  </r>
  <r>
    <s v="t240031"/>
    <n v="1"/>
    <n v="2.2000000000000002"/>
    <n v="2.5"/>
    <n v="16.75"/>
    <x v="1"/>
  </r>
  <r>
    <s v="a240005"/>
    <n v="2"/>
    <n v="15.01"/>
    <n v="15.81"/>
    <n v="462"/>
    <x v="2"/>
  </r>
  <r>
    <s v="t240025"/>
    <n v="19"/>
    <n v="308.3"/>
    <n v="314"/>
    <n v="2637"/>
    <x v="1"/>
  </r>
  <r>
    <s v="a240010"/>
    <n v="1"/>
    <n v="3.92"/>
    <n v="4.32"/>
    <n v="280"/>
    <x v="3"/>
  </r>
  <r>
    <s v="t240015"/>
    <n v="15"/>
    <n v="305.5"/>
    <n v="310"/>
    <n v="6787.2"/>
    <x v="1"/>
  </r>
  <r>
    <s v="t240028"/>
    <n v="37"/>
    <n v="607.9"/>
    <n v="619"/>
    <n v="11874.55"/>
    <x v="1"/>
  </r>
  <r>
    <s v="t240036"/>
    <n v="2"/>
    <n v="33.4"/>
    <n v="34"/>
    <n v="336.32"/>
    <x v="4"/>
  </r>
  <r>
    <s v="t240041"/>
    <n v="20"/>
    <n v="348"/>
    <n v="354"/>
    <n v="3340.25"/>
    <x v="4"/>
  </r>
  <r>
    <s v="t240013"/>
    <n v="23"/>
    <n v="518"/>
    <n v="525"/>
    <n v="3523.31"/>
    <x v="5"/>
  </r>
  <r>
    <s v="t240033"/>
    <n v="19"/>
    <n v="275.3"/>
    <n v="281"/>
    <n v="3840.44"/>
    <x v="1"/>
  </r>
  <r>
    <s v="t240016"/>
    <n v="87"/>
    <n v="1606.9"/>
    <n v="1633"/>
    <n v="17352.400000000001"/>
    <x v="1"/>
  </r>
  <r>
    <s v="t240023"/>
    <n v="25"/>
    <n v="203.9"/>
    <n v="211.4"/>
    <n v="9501"/>
    <x v="6"/>
  </r>
  <r>
    <s v="t240038"/>
    <n v="28"/>
    <n v="527.6"/>
    <n v="530"/>
    <n v="5460.2"/>
    <x v="4"/>
  </r>
  <r>
    <s v="t240040"/>
    <n v="14"/>
    <n v="234.8"/>
    <n v="239"/>
    <n v="2670.2"/>
    <x v="1"/>
  </r>
  <r>
    <s v="t240042"/>
    <n v="32"/>
    <n v="529.4"/>
    <n v="539"/>
    <n v="5777"/>
    <x v="1"/>
  </r>
  <r>
    <s v="t240014"/>
    <n v="28"/>
    <n v="170.2"/>
    <n v="178.6"/>
    <n v="8200"/>
    <x v="6"/>
  </r>
  <r>
    <s v="t240029"/>
    <n v="12"/>
    <n v="116"/>
    <n v="119"/>
    <n v="5163"/>
    <x v="6"/>
  </r>
  <r>
    <s v="t240034"/>
    <n v="4"/>
    <n v="77"/>
    <n v="79"/>
    <n v="836.66"/>
    <x v="1"/>
  </r>
  <r>
    <s v="t240002"/>
    <n v="28"/>
    <n v="343.45"/>
    <n v="371.45"/>
    <n v="7954.8"/>
    <x v="6"/>
  </r>
  <r>
    <s v="t240003"/>
    <n v="25"/>
    <n v="309.91000000000003"/>
    <n v="334.9"/>
    <n v="7178.64"/>
    <x v="6"/>
  </r>
  <r>
    <s v="t240024"/>
    <n v="12"/>
    <n v="236.4"/>
    <n v="240"/>
    <n v="2096.16"/>
    <x v="1"/>
  </r>
  <r>
    <s v="a240002"/>
    <n v="34"/>
    <n v="438"/>
    <n v="472.87"/>
    <n v="2225.71"/>
    <x v="7"/>
  </r>
  <r>
    <s v="t240004"/>
    <n v="77"/>
    <n v="1227.1099999999999"/>
    <n v="1304.1099999999999"/>
    <n v="19681.560000000001"/>
    <x v="8"/>
  </r>
  <r>
    <s v="a240002"/>
    <n v="2"/>
    <n v="21"/>
    <n v="23.56"/>
    <n v="109.34"/>
    <x v="7"/>
  </r>
  <r>
    <s v="a240009"/>
    <n v="3"/>
    <n v="11.6"/>
    <n v="12.26"/>
    <n v="446.25"/>
    <x v="9"/>
  </r>
  <r>
    <s v="t240020"/>
    <n v="1"/>
    <n v="174.5"/>
    <n v="187"/>
    <n v="107.63"/>
    <x v="10"/>
  </r>
  <r>
    <s v="t240035"/>
    <n v="27"/>
    <n v="412.9"/>
    <n v="421"/>
    <n v="7002.6"/>
    <x v="11"/>
  </r>
  <r>
    <s v="t240012"/>
    <n v="54"/>
    <n v="1044.8"/>
    <n v="1061"/>
    <n v="9499"/>
    <x v="5"/>
  </r>
  <r>
    <s v="t240032"/>
    <n v="19"/>
    <n v="351.3"/>
    <n v="357"/>
    <n v="3215.11"/>
    <x v="5"/>
  </r>
  <r>
    <s v="t240005"/>
    <n v="1"/>
    <n v="8.8000000000000007"/>
    <n v="9.3000000000000007"/>
    <n v="66.55"/>
    <x v="12"/>
  </r>
  <r>
    <s v="t240037"/>
    <n v="7"/>
    <n v="113.9"/>
    <n v="116"/>
    <n v="994.65"/>
    <x v="1"/>
  </r>
  <r>
    <s v="a240003"/>
    <n v="1"/>
    <n v="0.93"/>
    <n v="1.33"/>
    <n v="109.83000000000001"/>
    <x v="13"/>
  </r>
  <r>
    <s v="t240007"/>
    <n v="2"/>
    <n v="36.1"/>
    <n v="37.1"/>
    <n v="62.7"/>
    <x v="14"/>
  </r>
  <r>
    <s v="t240008"/>
    <n v="1"/>
    <n v="25.7"/>
    <n v="26.2"/>
    <n v="41.83"/>
    <x v="15"/>
  </r>
  <r>
    <s v="t240026"/>
    <n v="39"/>
    <n v="805.3"/>
    <n v="817"/>
    <n v="5421.85"/>
    <x v="1"/>
  </r>
  <r>
    <s v="t240017"/>
    <n v="1"/>
    <n v="4.87"/>
    <n v="5.37"/>
    <n v="18.3"/>
    <x v="16"/>
  </r>
  <r>
    <s v="a240006"/>
    <n v="1"/>
    <n v="4.1399999999999997"/>
    <n v="4.3600000000000003"/>
    <n v="30.6"/>
    <x v="17"/>
  </r>
  <r>
    <s v="t240039"/>
    <n v="8"/>
    <n v="186.6"/>
    <n v="189"/>
    <n v="1251"/>
    <x v="5"/>
  </r>
  <r>
    <s v="a240004"/>
    <n v="1"/>
    <n v="9.52"/>
    <n v="10.52"/>
    <n v="152.32"/>
    <x v="7"/>
  </r>
  <r>
    <s v="a240008"/>
    <n v="1"/>
    <n v="9.9600000000000009"/>
    <n v="10.96"/>
    <n v="159.36000000000001"/>
    <x v="9"/>
  </r>
  <r>
    <s v="t240018"/>
    <n v="1"/>
    <n v="6.88"/>
    <n v="7.38"/>
    <n v="54.129999999999995"/>
    <x v="12"/>
  </r>
  <r>
    <s v="a240011"/>
    <n v="1"/>
    <n v="1.5"/>
    <n v="2.5"/>
    <n v="1.5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71661-39F3-4CC7-93BF-6819F1CE7FAC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9" firstHeaderRow="0" firstDataRow="1" firstDataCol="1"/>
  <pivotFields count="5">
    <pivotField axis="axisRow" showAll="0">
      <items count="23">
        <item x="2"/>
        <item x="6"/>
        <item x="9"/>
        <item x="16"/>
        <item x="21"/>
        <item x="14"/>
        <item x="20"/>
        <item x="17"/>
        <item x="15"/>
        <item x="0"/>
        <item x="1"/>
        <item x="3"/>
        <item x="8"/>
        <item x="13"/>
        <item x="11"/>
        <item x="4"/>
        <item x="12"/>
        <item x="19"/>
        <item x="18"/>
        <item x="7"/>
        <item x="5"/>
        <item x="10"/>
        <item t="default"/>
      </items>
    </pivotField>
    <pivotField axis="axisRow" showAll="0">
      <items count="42">
        <item x="4"/>
        <item x="5"/>
        <item x="6"/>
        <item x="7"/>
        <item x="8"/>
        <item x="9"/>
        <item x="10"/>
        <item x="11"/>
        <item x="12"/>
        <item x="0"/>
        <item x="1"/>
        <item x="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dataField="1" showAll="0">
      <items count="22">
        <item x="7"/>
        <item x="5"/>
        <item x="19"/>
        <item x="18"/>
        <item x="20"/>
        <item x="1"/>
        <item x="2"/>
        <item x="0"/>
        <item x="6"/>
        <item x="16"/>
        <item x="14"/>
        <item x="3"/>
        <item x="15"/>
        <item x="11"/>
        <item x="9"/>
        <item x="4"/>
        <item x="8"/>
        <item x="12"/>
        <item x="13"/>
        <item x="17"/>
        <item x="10"/>
        <item t="default"/>
      </items>
    </pivotField>
    <pivotField dataField="1" numFmtId="44" showAll="0"/>
  </pivotFields>
  <rowFields count="2">
    <field x="0"/>
    <field x="1"/>
  </rowFields>
  <rowItems count="66">
    <i>
      <x/>
    </i>
    <i r="1">
      <x v="29"/>
    </i>
    <i r="1">
      <x v="30"/>
    </i>
    <i>
      <x v="1"/>
    </i>
    <i r="1">
      <x v="3"/>
    </i>
    <i r="1">
      <x v="25"/>
    </i>
    <i>
      <x v="2"/>
    </i>
    <i r="1">
      <x v="7"/>
    </i>
    <i>
      <x v="3"/>
    </i>
    <i r="1">
      <x v="18"/>
    </i>
    <i r="1">
      <x v="27"/>
    </i>
    <i>
      <x v="4"/>
    </i>
    <i r="1">
      <x v="34"/>
    </i>
    <i r="1">
      <x v="39"/>
    </i>
    <i>
      <x v="5"/>
    </i>
    <i r="1">
      <x v="16"/>
    </i>
    <i>
      <x v="6"/>
    </i>
    <i r="1">
      <x v="31"/>
    </i>
    <i>
      <x v="7"/>
    </i>
    <i r="1">
      <x v="19"/>
    </i>
    <i r="1">
      <x v="23"/>
    </i>
    <i r="1">
      <x v="36"/>
    </i>
    <i r="1">
      <x v="38"/>
    </i>
    <i r="1">
      <x v="40"/>
    </i>
    <i>
      <x v="8"/>
    </i>
    <i r="1">
      <x v="17"/>
    </i>
    <i r="1">
      <x v="28"/>
    </i>
    <i r="1">
      <x v="32"/>
    </i>
    <i>
      <x v="9"/>
    </i>
    <i r="1">
      <x v="9"/>
    </i>
    <i r="1">
      <x v="10"/>
    </i>
    <i r="1">
      <x v="24"/>
    </i>
    <i>
      <x v="10"/>
    </i>
    <i r="1">
      <x/>
    </i>
    <i r="1">
      <x v="11"/>
    </i>
    <i>
      <x v="11"/>
    </i>
    <i r="1">
      <x/>
    </i>
    <i>
      <x v="12"/>
    </i>
    <i r="1">
      <x v="6"/>
    </i>
    <i r="1">
      <x v="22"/>
    </i>
    <i r="1">
      <x v="33"/>
    </i>
    <i>
      <x v="13"/>
    </i>
    <i r="1">
      <x v="15"/>
    </i>
    <i r="1">
      <x v="30"/>
    </i>
    <i>
      <x v="14"/>
    </i>
    <i r="1">
      <x v="12"/>
    </i>
    <i r="1">
      <x v="35"/>
    </i>
    <i>
      <x v="15"/>
    </i>
    <i r="1">
      <x v="1"/>
    </i>
    <i r="1">
      <x v="13"/>
    </i>
    <i>
      <x v="16"/>
    </i>
    <i r="1">
      <x v="14"/>
    </i>
    <i>
      <x v="17"/>
    </i>
    <i r="1">
      <x v="26"/>
    </i>
    <i>
      <x v="18"/>
    </i>
    <i r="1">
      <x v="20"/>
    </i>
    <i>
      <x v="19"/>
    </i>
    <i r="1">
      <x v="4"/>
    </i>
    <i r="1">
      <x v="37"/>
    </i>
    <i>
      <x v="20"/>
    </i>
    <i r="1">
      <x v="2"/>
    </i>
    <i r="1">
      <x v="5"/>
    </i>
    <i r="1">
      <x v="21"/>
    </i>
    <i>
      <x v="21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" fld="4" baseField="0" baseItem="0"/>
    <dataField name="Suma de partid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5EBBC-2BF0-4AB6-814A-7A78245C07F3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9" firstHeaderRow="0" firstDataRow="1" firstDataCol="1"/>
  <pivotFields count="7">
    <pivotField axis="axisRow" showAll="0">
      <items count="43">
        <item x="33"/>
        <item x="34"/>
        <item x="35"/>
        <item x="36"/>
        <item x="37"/>
        <item x="38"/>
        <item x="39"/>
        <item x="40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24">
        <item x="15"/>
        <item x="13"/>
        <item x="20"/>
        <item x="8"/>
        <item x="17"/>
        <item x="6"/>
        <item x="16"/>
        <item x="9"/>
        <item x="7"/>
        <item x="0"/>
        <item x="1"/>
        <item x="19"/>
        <item x="12"/>
        <item x="5"/>
        <item x="2"/>
        <item m="1" x="22"/>
        <item x="3"/>
        <item x="4"/>
        <item x="14"/>
        <item x="10"/>
        <item x="18"/>
        <item x="11"/>
        <item x="21"/>
        <item t="default"/>
      </items>
    </pivotField>
    <pivotField dataField="1" showAll="0"/>
    <pivotField showAll="0"/>
    <pivotField showAll="0"/>
    <pivotField dataField="1" numFmtId="3" showAll="0"/>
    <pivotField dataField="1" numFmtId="3" showAll="0"/>
  </pivotFields>
  <rowFields count="2">
    <field x="1"/>
    <field x="0"/>
  </rowFields>
  <rowItems count="66">
    <i>
      <x/>
    </i>
    <i r="1">
      <x v="29"/>
    </i>
    <i r="1">
      <x v="30"/>
    </i>
    <i>
      <x v="1"/>
    </i>
    <i r="1">
      <x v="3"/>
    </i>
    <i r="1">
      <x v="25"/>
    </i>
    <i>
      <x v="2"/>
    </i>
    <i r="1">
      <x v="7"/>
    </i>
    <i>
      <x v="3"/>
    </i>
    <i r="1">
      <x v="18"/>
    </i>
    <i r="1">
      <x v="27"/>
    </i>
    <i>
      <x v="4"/>
    </i>
    <i r="1">
      <x v="35"/>
    </i>
    <i r="1">
      <x v="40"/>
    </i>
    <i>
      <x v="5"/>
    </i>
    <i r="1">
      <x v="16"/>
    </i>
    <i>
      <x v="6"/>
    </i>
    <i r="1">
      <x v="32"/>
    </i>
    <i>
      <x v="7"/>
    </i>
    <i r="1">
      <x v="19"/>
    </i>
    <i r="1">
      <x v="23"/>
    </i>
    <i r="1">
      <x v="37"/>
    </i>
    <i r="1">
      <x v="39"/>
    </i>
    <i r="1">
      <x v="41"/>
    </i>
    <i>
      <x v="8"/>
    </i>
    <i r="1">
      <x v="17"/>
    </i>
    <i r="1">
      <x v="28"/>
    </i>
    <i r="1">
      <x v="33"/>
    </i>
    <i>
      <x v="9"/>
    </i>
    <i r="1">
      <x v="9"/>
    </i>
    <i r="1">
      <x v="10"/>
    </i>
    <i r="1">
      <x v="24"/>
    </i>
    <i>
      <x v="10"/>
    </i>
    <i r="1">
      <x/>
    </i>
    <i r="1">
      <x v="11"/>
    </i>
    <i>
      <x v="11"/>
    </i>
    <i r="1">
      <x/>
    </i>
    <i>
      <x v="12"/>
    </i>
    <i r="1">
      <x v="6"/>
    </i>
    <i r="1">
      <x v="22"/>
    </i>
    <i r="1">
      <x v="34"/>
    </i>
    <i>
      <x v="13"/>
    </i>
    <i r="1">
      <x v="15"/>
    </i>
    <i r="1">
      <x v="31"/>
    </i>
    <i>
      <x v="14"/>
    </i>
    <i r="1">
      <x v="12"/>
    </i>
    <i r="1">
      <x v="36"/>
    </i>
    <i>
      <x v="16"/>
    </i>
    <i r="1">
      <x v="1"/>
    </i>
    <i r="1">
      <x v="13"/>
    </i>
    <i>
      <x v="17"/>
    </i>
    <i r="1">
      <x v="14"/>
    </i>
    <i>
      <x v="18"/>
    </i>
    <i r="1">
      <x v="26"/>
    </i>
    <i>
      <x v="19"/>
    </i>
    <i r="1">
      <x v="20"/>
    </i>
    <i>
      <x v="20"/>
    </i>
    <i r="1">
      <x v="4"/>
    </i>
    <i r="1">
      <x v="38"/>
    </i>
    <i>
      <x v="21"/>
    </i>
    <i r="1">
      <x v="2"/>
    </i>
    <i r="1">
      <x v="5"/>
    </i>
    <i r="1">
      <x v="21"/>
    </i>
    <i>
      <x v="22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lis" fld="2" baseField="0" baseItem="0"/>
    <dataField name="Suma de pne" fld="5" baseField="0" baseItem="0"/>
    <dataField name="Suma de p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FDDC7-2176-47DA-B03B-82EEF53A39AE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3" firstHeaderRow="0" firstDataRow="1" firstDataCol="1"/>
  <pivotFields count="6">
    <pivotField showAll="0"/>
    <pivotField dataField="1" showAll="0"/>
    <pivotField dataField="1" showAll="0"/>
    <pivotField dataField="1" showAll="0"/>
    <pivotField dataField="1" showAll="0"/>
    <pivotField axis="axisRow" showAll="0">
      <items count="20">
        <item x="17"/>
        <item x="1"/>
        <item x="5"/>
        <item x="11"/>
        <item x="8"/>
        <item x="0"/>
        <item x="6"/>
        <item x="4"/>
        <item x="2"/>
        <item x="7"/>
        <item x="10"/>
        <item x="3"/>
        <item x="13"/>
        <item x="9"/>
        <item x="18"/>
        <item x="16"/>
        <item x="14"/>
        <item x="15"/>
        <item x="12"/>
        <item t="default"/>
      </items>
    </pivotField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bx" fld="1" baseField="0" baseItem="0"/>
    <dataField name="Suma de neto" fld="2" baseField="0" baseItem="0"/>
    <dataField name="Suma de bruto" fld="3" baseField="0" baseItem="0"/>
    <dataField name="Suma de import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15C2-672F-40D8-8824-9DC10A0949DD}">
  <dimension ref="B3:G103"/>
  <sheetViews>
    <sheetView tabSelected="1" workbookViewId="0">
      <selection activeCell="B3" sqref="B3"/>
    </sheetView>
  </sheetViews>
  <sheetFormatPr baseColWidth="10" defaultRowHeight="14.4" x14ac:dyDescent="0.3"/>
  <cols>
    <col min="6" max="6" width="9" bestFit="1" customWidth="1"/>
  </cols>
  <sheetData>
    <row r="3" spans="2:7" x14ac:dyDescent="0.3">
      <c r="B3" t="s">
        <v>86</v>
      </c>
      <c r="C3" t="s">
        <v>87</v>
      </c>
      <c r="D3" t="s">
        <v>88</v>
      </c>
      <c r="E3" t="s">
        <v>89</v>
      </c>
      <c r="F3" t="s">
        <v>80</v>
      </c>
      <c r="G3" t="s">
        <v>95</v>
      </c>
    </row>
    <row r="4" spans="2:7" x14ac:dyDescent="0.3">
      <c r="B4" s="4" t="s">
        <v>40</v>
      </c>
      <c r="C4">
        <v>1</v>
      </c>
      <c r="D4">
        <v>12.64</v>
      </c>
      <c r="E4">
        <v>13.64</v>
      </c>
      <c r="F4">
        <v>224.01</v>
      </c>
      <c r="G4">
        <v>610910</v>
      </c>
    </row>
    <row r="5" spans="2:7" x14ac:dyDescent="0.3">
      <c r="B5" s="4" t="s">
        <v>42</v>
      </c>
      <c r="C5">
        <v>1</v>
      </c>
      <c r="D5">
        <v>2.2000000000000002</v>
      </c>
      <c r="E5">
        <v>2.5</v>
      </c>
      <c r="F5">
        <v>16.75</v>
      </c>
      <c r="G5">
        <v>600622</v>
      </c>
    </row>
    <row r="6" spans="2:7" x14ac:dyDescent="0.3">
      <c r="B6" s="4" t="s">
        <v>62</v>
      </c>
      <c r="C6">
        <v>2</v>
      </c>
      <c r="D6">
        <v>15.01</v>
      </c>
      <c r="E6">
        <v>15.81</v>
      </c>
      <c r="F6">
        <v>462</v>
      </c>
      <c r="G6">
        <v>1921438</v>
      </c>
    </row>
    <row r="7" spans="2:7" x14ac:dyDescent="0.3">
      <c r="B7" s="4" t="s">
        <v>34</v>
      </c>
      <c r="C7">
        <v>19</v>
      </c>
      <c r="D7">
        <v>308.3</v>
      </c>
      <c r="E7">
        <v>314</v>
      </c>
      <c r="F7">
        <v>2637</v>
      </c>
      <c r="G7">
        <v>600622</v>
      </c>
    </row>
    <row r="8" spans="2:7" x14ac:dyDescent="0.3">
      <c r="B8" s="4" t="s">
        <v>66</v>
      </c>
      <c r="C8">
        <v>1</v>
      </c>
      <c r="D8">
        <v>3.92</v>
      </c>
      <c r="E8">
        <v>4.32</v>
      </c>
      <c r="F8">
        <v>280</v>
      </c>
      <c r="G8">
        <v>59019000</v>
      </c>
    </row>
    <row r="9" spans="2:7" x14ac:dyDescent="0.3">
      <c r="B9" s="4" t="s">
        <v>22</v>
      </c>
      <c r="C9">
        <v>15</v>
      </c>
      <c r="D9">
        <v>305.5</v>
      </c>
      <c r="E9">
        <v>310</v>
      </c>
      <c r="F9">
        <v>6787.2</v>
      </c>
      <c r="G9">
        <v>600622</v>
      </c>
    </row>
    <row r="10" spans="2:7" x14ac:dyDescent="0.3">
      <c r="B10" s="4" t="s">
        <v>38</v>
      </c>
      <c r="C10">
        <v>37</v>
      </c>
      <c r="D10">
        <v>607.9</v>
      </c>
      <c r="E10">
        <v>619</v>
      </c>
      <c r="F10">
        <v>11874.55</v>
      </c>
      <c r="G10">
        <v>600622</v>
      </c>
    </row>
    <row r="11" spans="2:7" x14ac:dyDescent="0.3">
      <c r="B11" s="4" t="s">
        <v>48</v>
      </c>
      <c r="C11">
        <v>2</v>
      </c>
      <c r="D11">
        <v>33.4</v>
      </c>
      <c r="E11">
        <v>34</v>
      </c>
      <c r="F11">
        <v>336.32</v>
      </c>
      <c r="G11">
        <v>1201244</v>
      </c>
    </row>
    <row r="12" spans="2:7" x14ac:dyDescent="0.3">
      <c r="B12" s="4" t="s">
        <v>55</v>
      </c>
      <c r="C12">
        <v>20</v>
      </c>
      <c r="D12">
        <v>348</v>
      </c>
      <c r="E12">
        <v>354</v>
      </c>
      <c r="F12">
        <v>3340.25</v>
      </c>
      <c r="G12">
        <v>1201244</v>
      </c>
    </row>
    <row r="13" spans="2:7" x14ac:dyDescent="0.3">
      <c r="B13" s="4" t="s">
        <v>70</v>
      </c>
      <c r="C13">
        <v>23</v>
      </c>
      <c r="D13">
        <v>518</v>
      </c>
      <c r="E13">
        <v>525</v>
      </c>
      <c r="F13">
        <v>3523.31</v>
      </c>
      <c r="G13">
        <v>600632</v>
      </c>
    </row>
    <row r="14" spans="2:7" x14ac:dyDescent="0.3">
      <c r="B14" s="4" t="s">
        <v>44</v>
      </c>
      <c r="C14">
        <v>19</v>
      </c>
      <c r="D14">
        <v>275.3</v>
      </c>
      <c r="E14">
        <v>281</v>
      </c>
      <c r="F14">
        <v>3840.44</v>
      </c>
      <c r="G14">
        <v>600622</v>
      </c>
    </row>
    <row r="15" spans="2:7" x14ac:dyDescent="0.3">
      <c r="B15" s="4" t="s">
        <v>24</v>
      </c>
      <c r="C15">
        <v>87</v>
      </c>
      <c r="D15">
        <v>1606.9</v>
      </c>
      <c r="E15">
        <v>1633</v>
      </c>
      <c r="F15">
        <v>17352.400000000001</v>
      </c>
      <c r="G15">
        <v>600622</v>
      </c>
    </row>
    <row r="16" spans="2:7" x14ac:dyDescent="0.3">
      <c r="B16" s="4" t="s">
        <v>32</v>
      </c>
      <c r="C16">
        <v>25</v>
      </c>
      <c r="D16">
        <v>203.9</v>
      </c>
      <c r="E16">
        <v>211.4</v>
      </c>
      <c r="F16">
        <v>9501</v>
      </c>
      <c r="G16">
        <v>611790</v>
      </c>
    </row>
    <row r="17" spans="2:7" x14ac:dyDescent="0.3">
      <c r="B17" s="4" t="s">
        <v>51</v>
      </c>
      <c r="C17">
        <v>28</v>
      </c>
      <c r="D17">
        <v>527.6</v>
      </c>
      <c r="E17">
        <v>530</v>
      </c>
      <c r="F17">
        <v>5460.2</v>
      </c>
      <c r="G17">
        <v>1201244</v>
      </c>
    </row>
    <row r="18" spans="2:7" x14ac:dyDescent="0.3">
      <c r="B18" s="4" t="s">
        <v>54</v>
      </c>
      <c r="C18">
        <v>14</v>
      </c>
      <c r="D18">
        <v>234.8</v>
      </c>
      <c r="E18">
        <v>239</v>
      </c>
      <c r="F18">
        <v>2670.2</v>
      </c>
      <c r="G18">
        <v>600622</v>
      </c>
    </row>
    <row r="19" spans="2:7" x14ac:dyDescent="0.3">
      <c r="B19" s="4" t="s">
        <v>56</v>
      </c>
      <c r="C19">
        <v>32</v>
      </c>
      <c r="D19">
        <v>529.4</v>
      </c>
      <c r="E19">
        <v>539</v>
      </c>
      <c r="F19">
        <v>5777</v>
      </c>
      <c r="G19">
        <v>600622</v>
      </c>
    </row>
    <row r="20" spans="2:7" x14ac:dyDescent="0.3">
      <c r="B20" s="4" t="s">
        <v>19</v>
      </c>
      <c r="C20">
        <v>28</v>
      </c>
      <c r="D20">
        <v>170.2</v>
      </c>
      <c r="E20">
        <v>178.6</v>
      </c>
      <c r="F20">
        <v>8200</v>
      </c>
      <c r="G20">
        <v>611790</v>
      </c>
    </row>
    <row r="21" spans="2:7" x14ac:dyDescent="0.3">
      <c r="B21" s="4" t="s">
        <v>39</v>
      </c>
      <c r="C21">
        <v>12</v>
      </c>
      <c r="D21">
        <v>116</v>
      </c>
      <c r="E21">
        <v>119</v>
      </c>
      <c r="F21">
        <v>5163</v>
      </c>
      <c r="G21">
        <v>611790</v>
      </c>
    </row>
    <row r="22" spans="2:7" x14ac:dyDescent="0.3">
      <c r="B22" s="4" t="s">
        <v>46</v>
      </c>
      <c r="C22">
        <v>4</v>
      </c>
      <c r="D22">
        <v>77</v>
      </c>
      <c r="E22">
        <v>79</v>
      </c>
      <c r="F22">
        <v>836.66</v>
      </c>
      <c r="G22">
        <v>600622</v>
      </c>
    </row>
    <row r="23" spans="2:7" x14ac:dyDescent="0.3">
      <c r="B23" s="4" t="s">
        <v>6</v>
      </c>
      <c r="C23">
        <v>28</v>
      </c>
      <c r="D23">
        <v>343.45</v>
      </c>
      <c r="E23">
        <v>371.45</v>
      </c>
      <c r="F23">
        <v>7954.8</v>
      </c>
      <c r="G23">
        <v>611790</v>
      </c>
    </row>
    <row r="24" spans="2:7" x14ac:dyDescent="0.3">
      <c r="B24" s="4" t="s">
        <v>9</v>
      </c>
      <c r="C24">
        <v>25</v>
      </c>
      <c r="D24">
        <v>309.91000000000003</v>
      </c>
      <c r="E24">
        <v>334.9</v>
      </c>
      <c r="F24">
        <v>7178.64</v>
      </c>
      <c r="G24">
        <v>611790</v>
      </c>
    </row>
    <row r="25" spans="2:7" x14ac:dyDescent="0.3">
      <c r="B25" s="4" t="s">
        <v>33</v>
      </c>
      <c r="C25">
        <v>12</v>
      </c>
      <c r="D25">
        <v>236.4</v>
      </c>
      <c r="E25">
        <v>240</v>
      </c>
      <c r="F25">
        <v>2096.16</v>
      </c>
      <c r="G25">
        <v>600622</v>
      </c>
    </row>
    <row r="26" spans="2:7" x14ac:dyDescent="0.3">
      <c r="B26" s="4" t="s">
        <v>57</v>
      </c>
      <c r="C26">
        <v>34</v>
      </c>
      <c r="D26">
        <v>438</v>
      </c>
      <c r="E26">
        <v>472.87</v>
      </c>
      <c r="F26">
        <v>2225.71</v>
      </c>
      <c r="G26">
        <v>40021910</v>
      </c>
    </row>
    <row r="27" spans="2:7" x14ac:dyDescent="0.3">
      <c r="B27" s="4" t="s">
        <v>10</v>
      </c>
      <c r="C27">
        <v>77</v>
      </c>
      <c r="D27">
        <v>1227.1099999999999</v>
      </c>
      <c r="E27">
        <v>1304.1099999999999</v>
      </c>
      <c r="F27">
        <v>19681.560000000001</v>
      </c>
      <c r="G27">
        <v>610462</v>
      </c>
    </row>
    <row r="28" spans="2:7" x14ac:dyDescent="0.3">
      <c r="B28" s="4" t="s">
        <v>57</v>
      </c>
      <c r="C28">
        <v>2</v>
      </c>
      <c r="D28">
        <v>21</v>
      </c>
      <c r="E28">
        <v>23.56</v>
      </c>
      <c r="F28">
        <v>109.34</v>
      </c>
      <c r="G28">
        <v>40021910</v>
      </c>
    </row>
    <row r="29" spans="2:7" x14ac:dyDescent="0.3">
      <c r="B29" s="4" t="s">
        <v>65</v>
      </c>
      <c r="C29">
        <v>3</v>
      </c>
      <c r="D29">
        <v>11.6</v>
      </c>
      <c r="E29">
        <v>12.26</v>
      </c>
      <c r="F29">
        <v>446.25</v>
      </c>
      <c r="G29">
        <v>400219101</v>
      </c>
    </row>
    <row r="30" spans="2:7" x14ac:dyDescent="0.3">
      <c r="B30" s="4" t="s">
        <v>30</v>
      </c>
      <c r="C30">
        <v>1</v>
      </c>
      <c r="D30">
        <v>174.5</v>
      </c>
      <c r="E30">
        <v>187</v>
      </c>
      <c r="F30">
        <v>107.63</v>
      </c>
      <c r="G30">
        <v>48192000</v>
      </c>
    </row>
    <row r="31" spans="2:7" x14ac:dyDescent="0.3">
      <c r="B31" s="4" t="s">
        <v>47</v>
      </c>
      <c r="C31">
        <v>27</v>
      </c>
      <c r="D31">
        <v>412.9</v>
      </c>
      <c r="E31">
        <v>421</v>
      </c>
      <c r="F31">
        <v>7002.6</v>
      </c>
      <c r="G31">
        <v>600634</v>
      </c>
    </row>
    <row r="32" spans="2:7" x14ac:dyDescent="0.3">
      <c r="B32" s="4" t="s">
        <v>16</v>
      </c>
      <c r="C32">
        <v>54</v>
      </c>
      <c r="D32">
        <v>1044.8</v>
      </c>
      <c r="E32">
        <v>1061</v>
      </c>
      <c r="F32">
        <v>9499</v>
      </c>
      <c r="G32">
        <v>600632</v>
      </c>
    </row>
    <row r="33" spans="2:7" x14ac:dyDescent="0.3">
      <c r="B33" s="4" t="s">
        <v>43</v>
      </c>
      <c r="C33">
        <v>19</v>
      </c>
      <c r="D33">
        <v>351.3</v>
      </c>
      <c r="E33">
        <v>357</v>
      </c>
      <c r="F33">
        <v>3215.11</v>
      </c>
      <c r="G33">
        <v>600632</v>
      </c>
    </row>
    <row r="34" spans="2:7" x14ac:dyDescent="0.3">
      <c r="B34" s="4" t="s">
        <v>72</v>
      </c>
      <c r="C34">
        <v>1</v>
      </c>
      <c r="D34">
        <v>8.8000000000000007</v>
      </c>
      <c r="E34">
        <v>9.3000000000000007</v>
      </c>
      <c r="F34">
        <v>66.55</v>
      </c>
      <c r="G34">
        <v>7927964170</v>
      </c>
    </row>
    <row r="35" spans="2:7" x14ac:dyDescent="0.3">
      <c r="B35" s="4" t="s">
        <v>50</v>
      </c>
      <c r="C35">
        <v>7</v>
      </c>
      <c r="D35">
        <v>113.9</v>
      </c>
      <c r="E35">
        <v>116</v>
      </c>
      <c r="F35">
        <v>994.65</v>
      </c>
      <c r="G35">
        <v>600622</v>
      </c>
    </row>
    <row r="36" spans="2:7" x14ac:dyDescent="0.3">
      <c r="B36" s="4" t="s">
        <v>59</v>
      </c>
      <c r="C36">
        <v>1</v>
      </c>
      <c r="D36">
        <v>0.93</v>
      </c>
      <c r="E36">
        <v>1.33</v>
      </c>
      <c r="F36">
        <v>109.83000000000001</v>
      </c>
      <c r="G36">
        <v>85920700</v>
      </c>
    </row>
    <row r="37" spans="2:7" x14ac:dyDescent="0.3">
      <c r="B37" s="4" t="s">
        <v>13</v>
      </c>
      <c r="C37">
        <v>2</v>
      </c>
      <c r="D37">
        <v>36.1</v>
      </c>
      <c r="E37">
        <v>37.1</v>
      </c>
      <c r="F37">
        <v>62.7</v>
      </c>
      <c r="G37">
        <v>7926964090</v>
      </c>
    </row>
    <row r="38" spans="2:7" x14ac:dyDescent="0.3">
      <c r="B38" s="4" t="s">
        <v>14</v>
      </c>
      <c r="C38">
        <v>1</v>
      </c>
      <c r="D38">
        <v>25.7</v>
      </c>
      <c r="E38">
        <v>26.2</v>
      </c>
      <c r="F38">
        <v>41.83</v>
      </c>
      <c r="G38">
        <v>7926964099</v>
      </c>
    </row>
    <row r="39" spans="2:7" x14ac:dyDescent="0.3">
      <c r="B39" s="4" t="s">
        <v>36</v>
      </c>
      <c r="C39">
        <v>39</v>
      </c>
      <c r="D39">
        <v>805.3</v>
      </c>
      <c r="E39">
        <v>817</v>
      </c>
      <c r="F39">
        <v>5421.85</v>
      </c>
      <c r="G39">
        <v>600622</v>
      </c>
    </row>
    <row r="40" spans="2:7" x14ac:dyDescent="0.3">
      <c r="B40" s="4" t="s">
        <v>26</v>
      </c>
      <c r="C40">
        <v>1</v>
      </c>
      <c r="D40">
        <v>4.87</v>
      </c>
      <c r="E40">
        <v>5.37</v>
      </c>
      <c r="F40">
        <v>18.3</v>
      </c>
      <c r="G40">
        <v>7878772099</v>
      </c>
    </row>
    <row r="41" spans="2:7" x14ac:dyDescent="0.3">
      <c r="B41" s="4" t="s">
        <v>63</v>
      </c>
      <c r="C41">
        <v>1</v>
      </c>
      <c r="D41">
        <v>4.1399999999999997</v>
      </c>
      <c r="E41">
        <v>4.3600000000000003</v>
      </c>
      <c r="F41">
        <v>30.6</v>
      </c>
      <c r="G41">
        <v>401910</v>
      </c>
    </row>
    <row r="42" spans="2:7" x14ac:dyDescent="0.3">
      <c r="B42" s="4" t="s">
        <v>52</v>
      </c>
      <c r="C42">
        <v>8</v>
      </c>
      <c r="D42">
        <v>186.6</v>
      </c>
      <c r="E42">
        <v>189</v>
      </c>
      <c r="F42">
        <v>1251</v>
      </c>
      <c r="G42">
        <v>600632</v>
      </c>
    </row>
    <row r="43" spans="2:7" x14ac:dyDescent="0.3">
      <c r="B43" s="4" t="s">
        <v>61</v>
      </c>
      <c r="C43">
        <v>1</v>
      </c>
      <c r="D43">
        <v>9.52</v>
      </c>
      <c r="E43">
        <v>10.52</v>
      </c>
      <c r="F43">
        <v>152.32</v>
      </c>
      <c r="G43">
        <v>40021910</v>
      </c>
    </row>
    <row r="44" spans="2:7" x14ac:dyDescent="0.3">
      <c r="B44" s="4" t="s">
        <v>64</v>
      </c>
      <c r="C44">
        <v>1</v>
      </c>
      <c r="D44">
        <v>9.9600000000000009</v>
      </c>
      <c r="E44">
        <v>10.96</v>
      </c>
      <c r="F44">
        <v>159.36000000000001</v>
      </c>
      <c r="G44">
        <v>400219101</v>
      </c>
    </row>
    <row r="45" spans="2:7" x14ac:dyDescent="0.3">
      <c r="B45" s="4" t="s">
        <v>28</v>
      </c>
      <c r="C45">
        <v>1</v>
      </c>
      <c r="D45">
        <v>6.88</v>
      </c>
      <c r="E45">
        <v>7.38</v>
      </c>
      <c r="F45">
        <v>54.129999999999995</v>
      </c>
      <c r="G45">
        <v>7927964170</v>
      </c>
    </row>
    <row r="46" spans="2:7" x14ac:dyDescent="0.3">
      <c r="B46" s="4" t="s">
        <v>68</v>
      </c>
      <c r="C46">
        <v>1</v>
      </c>
      <c r="D46">
        <v>1.5</v>
      </c>
      <c r="E46">
        <v>2.5</v>
      </c>
      <c r="F46">
        <v>1.5</v>
      </c>
      <c r="G46">
        <v>5808900000</v>
      </c>
    </row>
    <row r="47" spans="2:7" x14ac:dyDescent="0.3">
      <c r="B47" s="4"/>
    </row>
    <row r="49" spans="6:6" x14ac:dyDescent="0.3">
      <c r="F49" s="10"/>
    </row>
    <row r="51" spans="6:6" x14ac:dyDescent="0.3">
      <c r="F51" s="8"/>
    </row>
    <row r="52" spans="6:6" x14ac:dyDescent="0.3">
      <c r="F52" s="10"/>
    </row>
    <row r="54" spans="6:6" x14ac:dyDescent="0.3">
      <c r="F54" s="10"/>
    </row>
    <row r="56" spans="6:6" x14ac:dyDescent="0.3">
      <c r="F56" s="8"/>
    </row>
    <row r="57" spans="6:6" x14ac:dyDescent="0.3">
      <c r="F57" s="10"/>
    </row>
    <row r="62" spans="6:6" x14ac:dyDescent="0.3">
      <c r="F62" s="10"/>
    </row>
    <row r="64" spans="6:6" x14ac:dyDescent="0.3">
      <c r="F64" s="8"/>
    </row>
    <row r="65" spans="6:6" x14ac:dyDescent="0.3">
      <c r="F65" s="10"/>
    </row>
    <row r="68" spans="6:6" x14ac:dyDescent="0.3">
      <c r="F68" s="10"/>
    </row>
    <row r="73" spans="6:6" x14ac:dyDescent="0.3">
      <c r="F73" s="8"/>
    </row>
    <row r="74" spans="6:6" x14ac:dyDescent="0.3">
      <c r="F74" s="10"/>
    </row>
    <row r="79" spans="6:6" x14ac:dyDescent="0.3">
      <c r="F79" s="8"/>
    </row>
    <row r="80" spans="6:6" x14ac:dyDescent="0.3">
      <c r="F80" s="10"/>
    </row>
    <row r="82" spans="6:6" x14ac:dyDescent="0.3">
      <c r="F82" s="8"/>
    </row>
    <row r="83" spans="6:6" x14ac:dyDescent="0.3">
      <c r="F83" s="10"/>
    </row>
    <row r="87" spans="6:6" x14ac:dyDescent="0.3">
      <c r="F87" s="8"/>
    </row>
    <row r="88" spans="6:6" x14ac:dyDescent="0.3">
      <c r="F88" s="10"/>
    </row>
    <row r="90" spans="6:6" x14ac:dyDescent="0.3">
      <c r="F90" s="10"/>
    </row>
    <row r="92" spans="6:6" x14ac:dyDescent="0.3">
      <c r="F92" s="8"/>
    </row>
    <row r="93" spans="6:6" x14ac:dyDescent="0.3">
      <c r="F93" s="10"/>
    </row>
    <row r="95" spans="6:6" x14ac:dyDescent="0.3">
      <c r="F95" s="10"/>
    </row>
    <row r="97" spans="6:6" x14ac:dyDescent="0.3">
      <c r="F97" s="10"/>
    </row>
    <row r="102" spans="6:6" x14ac:dyDescent="0.3">
      <c r="F102" s="8"/>
    </row>
    <row r="103" spans="6:6" x14ac:dyDescent="0.3">
      <c r="F10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90EB-7B89-4DA0-83D6-AE1C9F56C021}">
  <dimension ref="A3:E67"/>
  <sheetViews>
    <sheetView topLeftCell="A31" workbookViewId="0">
      <selection activeCell="B4" sqref="B4:E65"/>
    </sheetView>
  </sheetViews>
  <sheetFormatPr baseColWidth="10" defaultRowHeight="14.4" x14ac:dyDescent="0.3"/>
  <cols>
    <col min="5" max="5" width="13" style="5" bestFit="1" customWidth="1"/>
  </cols>
  <sheetData>
    <row r="3" spans="1:5" x14ac:dyDescent="0.3">
      <c r="A3" t="s">
        <v>93</v>
      </c>
      <c r="B3" t="s">
        <v>78</v>
      </c>
      <c r="C3" t="s">
        <v>81</v>
      </c>
      <c r="D3" t="s">
        <v>79</v>
      </c>
      <c r="E3" s="5" t="s">
        <v>80</v>
      </c>
    </row>
    <row r="4" spans="1:5" x14ac:dyDescent="0.3">
      <c r="A4" t="s">
        <v>94</v>
      </c>
      <c r="B4" t="s">
        <v>7</v>
      </c>
      <c r="C4" t="s">
        <v>6</v>
      </c>
      <c r="D4">
        <v>611790</v>
      </c>
      <c r="E4" s="5">
        <v>7954.8</v>
      </c>
    </row>
    <row r="5" spans="1:5" x14ac:dyDescent="0.3">
      <c r="A5">
        <v>1</v>
      </c>
      <c r="B5" t="s">
        <v>7</v>
      </c>
      <c r="C5" t="s">
        <v>9</v>
      </c>
      <c r="D5">
        <v>611790</v>
      </c>
      <c r="E5" s="5">
        <v>7178.64</v>
      </c>
    </row>
    <row r="6" spans="1:5" x14ac:dyDescent="0.3">
      <c r="A6">
        <v>1</v>
      </c>
      <c r="B6" t="s">
        <v>11</v>
      </c>
      <c r="C6" t="s">
        <v>10</v>
      </c>
      <c r="D6">
        <v>610462</v>
      </c>
      <c r="E6" s="5">
        <v>19681.560000000001</v>
      </c>
    </row>
    <row r="7" spans="1:5" x14ac:dyDescent="0.3">
      <c r="A7">
        <v>1</v>
      </c>
      <c r="B7" t="s">
        <v>41</v>
      </c>
      <c r="C7" t="s">
        <v>40</v>
      </c>
      <c r="D7">
        <v>610910</v>
      </c>
      <c r="E7" s="5">
        <v>224.01</v>
      </c>
    </row>
    <row r="8" spans="1:5" x14ac:dyDescent="0.3">
      <c r="A8">
        <v>1</v>
      </c>
      <c r="B8" t="s">
        <v>11</v>
      </c>
      <c r="C8" t="s">
        <v>57</v>
      </c>
      <c r="D8">
        <v>40021910</v>
      </c>
      <c r="E8" s="5">
        <v>2225.71</v>
      </c>
    </row>
    <row r="9" spans="1:5" x14ac:dyDescent="0.3">
      <c r="A9">
        <v>1</v>
      </c>
      <c r="B9" t="s">
        <v>58</v>
      </c>
      <c r="C9" t="s">
        <v>57</v>
      </c>
      <c r="D9">
        <v>40021910</v>
      </c>
      <c r="E9" s="5">
        <v>109.34</v>
      </c>
    </row>
    <row r="10" spans="1:5" x14ac:dyDescent="0.3">
      <c r="A10">
        <v>1</v>
      </c>
      <c r="B10" t="s">
        <v>60</v>
      </c>
      <c r="C10" t="s">
        <v>59</v>
      </c>
      <c r="D10">
        <v>85340090</v>
      </c>
      <c r="E10" s="5">
        <v>74.73</v>
      </c>
    </row>
    <row r="11" spans="1:5" x14ac:dyDescent="0.3">
      <c r="A11">
        <v>1</v>
      </c>
      <c r="B11" t="s">
        <v>60</v>
      </c>
      <c r="C11" t="s">
        <v>59</v>
      </c>
      <c r="D11">
        <v>580610</v>
      </c>
      <c r="E11" s="5">
        <v>35.1</v>
      </c>
    </row>
    <row r="12" spans="1:5" x14ac:dyDescent="0.3">
      <c r="A12">
        <v>1</v>
      </c>
      <c r="B12" t="s">
        <v>29</v>
      </c>
      <c r="C12" t="s">
        <v>61</v>
      </c>
      <c r="D12">
        <v>40021910</v>
      </c>
      <c r="E12" s="5">
        <v>152.32</v>
      </c>
    </row>
    <row r="13" spans="1:5" x14ac:dyDescent="0.3">
      <c r="A13">
        <v>1</v>
      </c>
      <c r="B13" t="s">
        <v>35</v>
      </c>
      <c r="C13" t="s">
        <v>62</v>
      </c>
      <c r="D13">
        <v>960719</v>
      </c>
      <c r="E13" s="5">
        <v>242</v>
      </c>
    </row>
    <row r="14" spans="1:5" x14ac:dyDescent="0.3">
      <c r="A14">
        <v>1</v>
      </c>
      <c r="B14" t="s">
        <v>35</v>
      </c>
      <c r="C14" t="s">
        <v>62</v>
      </c>
      <c r="D14">
        <v>960719</v>
      </c>
      <c r="E14" s="5">
        <v>220</v>
      </c>
    </row>
    <row r="15" spans="1:5" x14ac:dyDescent="0.3">
      <c r="A15">
        <v>1</v>
      </c>
      <c r="B15" t="s">
        <v>53</v>
      </c>
      <c r="C15" t="s">
        <v>63</v>
      </c>
      <c r="D15">
        <v>401910</v>
      </c>
      <c r="E15" s="5">
        <v>30.6</v>
      </c>
    </row>
    <row r="16" spans="1:5" x14ac:dyDescent="0.3">
      <c r="A16">
        <v>1</v>
      </c>
      <c r="B16" t="s">
        <v>29</v>
      </c>
      <c r="C16" t="s">
        <v>64</v>
      </c>
      <c r="D16">
        <v>400219101</v>
      </c>
      <c r="E16" s="5">
        <v>159.36000000000001</v>
      </c>
    </row>
    <row r="17" spans="1:5" x14ac:dyDescent="0.3">
      <c r="A17">
        <v>1</v>
      </c>
      <c r="B17" t="s">
        <v>31</v>
      </c>
      <c r="C17" t="s">
        <v>65</v>
      </c>
      <c r="D17">
        <v>400219101</v>
      </c>
      <c r="E17" s="5">
        <v>446.25</v>
      </c>
    </row>
    <row r="18" spans="1:5" x14ac:dyDescent="0.3">
      <c r="A18">
        <v>1</v>
      </c>
      <c r="B18" t="s">
        <v>67</v>
      </c>
      <c r="C18" t="s">
        <v>66</v>
      </c>
      <c r="D18">
        <v>59019000</v>
      </c>
      <c r="E18" s="5">
        <v>280</v>
      </c>
    </row>
    <row r="19" spans="1:5" x14ac:dyDescent="0.3">
      <c r="A19">
        <v>1</v>
      </c>
      <c r="B19" t="s">
        <v>82</v>
      </c>
      <c r="C19" t="s">
        <v>68</v>
      </c>
      <c r="D19">
        <v>5808900000</v>
      </c>
      <c r="E19" s="5">
        <v>1.5</v>
      </c>
    </row>
    <row r="20" spans="1:5" x14ac:dyDescent="0.3">
      <c r="A20">
        <v>1</v>
      </c>
      <c r="B20" t="s">
        <v>12</v>
      </c>
      <c r="C20" t="s">
        <v>72</v>
      </c>
      <c r="D20">
        <v>49192000</v>
      </c>
      <c r="E20" s="5">
        <v>3.8</v>
      </c>
    </row>
    <row r="21" spans="1:5" x14ac:dyDescent="0.3">
      <c r="A21">
        <v>1</v>
      </c>
      <c r="B21" t="s">
        <v>12</v>
      </c>
      <c r="C21" t="s">
        <v>72</v>
      </c>
      <c r="D21">
        <v>3919108090</v>
      </c>
      <c r="E21" s="5">
        <v>3.7</v>
      </c>
    </row>
    <row r="22" spans="1:5" x14ac:dyDescent="0.3">
      <c r="A22">
        <v>1</v>
      </c>
      <c r="B22" t="s">
        <v>12</v>
      </c>
      <c r="C22" t="s">
        <v>72</v>
      </c>
      <c r="D22">
        <v>3920431090</v>
      </c>
      <c r="E22" s="5">
        <v>6.3</v>
      </c>
    </row>
    <row r="23" spans="1:5" x14ac:dyDescent="0.3">
      <c r="A23">
        <v>1</v>
      </c>
      <c r="B23" t="s">
        <v>12</v>
      </c>
      <c r="C23" t="s">
        <v>72</v>
      </c>
      <c r="D23">
        <v>39232990</v>
      </c>
      <c r="E23" s="5">
        <v>52.75</v>
      </c>
    </row>
    <row r="24" spans="1:5" x14ac:dyDescent="0.3">
      <c r="A24">
        <v>1</v>
      </c>
      <c r="B24" t="s">
        <v>60</v>
      </c>
      <c r="C24" t="s">
        <v>13</v>
      </c>
      <c r="D24">
        <v>3919108090</v>
      </c>
      <c r="E24" s="5">
        <v>1.6</v>
      </c>
    </row>
    <row r="25" spans="1:5" x14ac:dyDescent="0.3">
      <c r="A25">
        <v>1</v>
      </c>
      <c r="B25" t="s">
        <v>60</v>
      </c>
      <c r="C25" t="s">
        <v>13</v>
      </c>
      <c r="D25">
        <v>48192000</v>
      </c>
      <c r="E25" s="5">
        <v>28.8</v>
      </c>
    </row>
    <row r="26" spans="1:5" x14ac:dyDescent="0.3">
      <c r="A26">
        <v>1</v>
      </c>
      <c r="B26" t="s">
        <v>60</v>
      </c>
      <c r="C26" t="s">
        <v>13</v>
      </c>
      <c r="D26">
        <v>3920431090</v>
      </c>
      <c r="E26" s="5">
        <v>6.3</v>
      </c>
    </row>
    <row r="27" spans="1:5" x14ac:dyDescent="0.3">
      <c r="A27">
        <v>1</v>
      </c>
      <c r="B27" t="s">
        <v>60</v>
      </c>
      <c r="C27" t="s">
        <v>13</v>
      </c>
      <c r="D27">
        <v>39232910</v>
      </c>
      <c r="E27" s="5">
        <v>26</v>
      </c>
    </row>
    <row r="28" spans="1:5" x14ac:dyDescent="0.3">
      <c r="A28">
        <v>1</v>
      </c>
      <c r="B28" t="s">
        <v>15</v>
      </c>
      <c r="C28" t="s">
        <v>14</v>
      </c>
      <c r="D28">
        <v>3919108090</v>
      </c>
      <c r="E28" s="5">
        <v>1.6</v>
      </c>
    </row>
    <row r="29" spans="1:5" x14ac:dyDescent="0.3">
      <c r="A29">
        <v>1</v>
      </c>
      <c r="B29" t="s">
        <v>15</v>
      </c>
      <c r="C29" t="s">
        <v>14</v>
      </c>
      <c r="D29">
        <v>48192000</v>
      </c>
      <c r="E29" s="5">
        <v>20.93</v>
      </c>
    </row>
    <row r="30" spans="1:5" x14ac:dyDescent="0.3">
      <c r="A30">
        <v>1</v>
      </c>
      <c r="B30" t="s">
        <v>15</v>
      </c>
      <c r="C30" t="s">
        <v>14</v>
      </c>
      <c r="D30">
        <v>3920431099</v>
      </c>
      <c r="E30" s="5">
        <v>6.3</v>
      </c>
    </row>
    <row r="31" spans="1:5" x14ac:dyDescent="0.3">
      <c r="A31">
        <v>1</v>
      </c>
      <c r="B31" t="s">
        <v>15</v>
      </c>
      <c r="C31" t="s">
        <v>14</v>
      </c>
      <c r="D31">
        <v>39232910</v>
      </c>
      <c r="E31" s="5">
        <v>13</v>
      </c>
    </row>
    <row r="32" spans="1:5" x14ac:dyDescent="0.3">
      <c r="A32">
        <v>1</v>
      </c>
      <c r="B32" t="s">
        <v>17</v>
      </c>
      <c r="C32" t="s">
        <v>16</v>
      </c>
      <c r="D32">
        <v>600632</v>
      </c>
      <c r="E32" s="5">
        <v>9499</v>
      </c>
    </row>
    <row r="33" spans="1:5" x14ac:dyDescent="0.3">
      <c r="A33">
        <v>1</v>
      </c>
      <c r="B33" t="s">
        <v>71</v>
      </c>
      <c r="C33" t="s">
        <v>70</v>
      </c>
      <c r="D33">
        <v>600632</v>
      </c>
      <c r="E33" s="5">
        <v>3523.31</v>
      </c>
    </row>
    <row r="34" spans="1:5" x14ac:dyDescent="0.3">
      <c r="A34">
        <v>1</v>
      </c>
      <c r="B34" t="s">
        <v>20</v>
      </c>
      <c r="C34" t="s">
        <v>19</v>
      </c>
      <c r="D34">
        <v>611790</v>
      </c>
      <c r="E34" s="5">
        <v>8200</v>
      </c>
    </row>
    <row r="35" spans="1:5" x14ac:dyDescent="0.3">
      <c r="A35">
        <v>1</v>
      </c>
      <c r="B35" t="s">
        <v>23</v>
      </c>
      <c r="C35" t="s">
        <v>22</v>
      </c>
      <c r="D35">
        <v>600622</v>
      </c>
      <c r="E35" s="5">
        <v>6787.2</v>
      </c>
    </row>
    <row r="36" spans="1:5" x14ac:dyDescent="0.3">
      <c r="A36">
        <v>1</v>
      </c>
      <c r="B36" t="s">
        <v>25</v>
      </c>
      <c r="C36" t="s">
        <v>24</v>
      </c>
      <c r="D36">
        <v>600622</v>
      </c>
      <c r="E36" s="5">
        <v>17352.400000000001</v>
      </c>
    </row>
    <row r="37" spans="1:5" x14ac:dyDescent="0.3">
      <c r="A37">
        <v>1</v>
      </c>
      <c r="B37" t="s">
        <v>27</v>
      </c>
      <c r="C37" t="s">
        <v>26</v>
      </c>
      <c r="D37">
        <v>3919108090</v>
      </c>
      <c r="E37" s="5">
        <v>1.6</v>
      </c>
    </row>
    <row r="38" spans="1:5" x14ac:dyDescent="0.3">
      <c r="A38">
        <v>1</v>
      </c>
      <c r="B38" t="s">
        <v>27</v>
      </c>
      <c r="C38" t="s">
        <v>26</v>
      </c>
      <c r="D38">
        <v>3920431099</v>
      </c>
      <c r="E38" s="5">
        <v>6.3</v>
      </c>
    </row>
    <row r="39" spans="1:5" x14ac:dyDescent="0.3">
      <c r="A39">
        <v>1</v>
      </c>
      <c r="B39" t="s">
        <v>27</v>
      </c>
      <c r="C39" t="s">
        <v>26</v>
      </c>
      <c r="D39">
        <v>39232910</v>
      </c>
      <c r="E39" s="5">
        <v>10.4</v>
      </c>
    </row>
    <row r="40" spans="1:5" x14ac:dyDescent="0.3">
      <c r="A40">
        <v>1</v>
      </c>
      <c r="B40" t="s">
        <v>29</v>
      </c>
      <c r="C40" t="s">
        <v>28</v>
      </c>
      <c r="D40">
        <v>49192000</v>
      </c>
      <c r="E40" s="5">
        <v>1.9</v>
      </c>
    </row>
    <row r="41" spans="1:5" x14ac:dyDescent="0.3">
      <c r="A41">
        <v>1</v>
      </c>
      <c r="B41" t="s">
        <v>29</v>
      </c>
      <c r="C41" t="s">
        <v>28</v>
      </c>
      <c r="D41">
        <v>3919108090</v>
      </c>
      <c r="E41" s="5">
        <v>1.85</v>
      </c>
    </row>
    <row r="42" spans="1:5" x14ac:dyDescent="0.3">
      <c r="A42">
        <v>1</v>
      </c>
      <c r="B42" t="s">
        <v>29</v>
      </c>
      <c r="C42" t="s">
        <v>28</v>
      </c>
      <c r="D42">
        <v>3920431090</v>
      </c>
      <c r="E42" s="5">
        <v>6.3</v>
      </c>
    </row>
    <row r="43" spans="1:5" x14ac:dyDescent="0.3">
      <c r="A43">
        <v>1</v>
      </c>
      <c r="B43" t="s">
        <v>29</v>
      </c>
      <c r="C43" t="s">
        <v>28</v>
      </c>
      <c r="D43">
        <v>39232990</v>
      </c>
      <c r="E43" s="5">
        <v>44.08</v>
      </c>
    </row>
    <row r="44" spans="1:5" x14ac:dyDescent="0.3">
      <c r="A44">
        <v>1</v>
      </c>
      <c r="B44" t="s">
        <v>31</v>
      </c>
      <c r="C44" t="s">
        <v>30</v>
      </c>
      <c r="D44">
        <v>48192000</v>
      </c>
      <c r="E44" s="5">
        <v>107.63</v>
      </c>
    </row>
    <row r="45" spans="1:5" x14ac:dyDescent="0.3">
      <c r="A45">
        <v>1</v>
      </c>
      <c r="B45" t="s">
        <v>25</v>
      </c>
      <c r="C45" t="s">
        <v>32</v>
      </c>
      <c r="D45">
        <v>611790</v>
      </c>
      <c r="E45" s="5">
        <v>9501</v>
      </c>
    </row>
    <row r="46" spans="1:5" x14ac:dyDescent="0.3">
      <c r="A46">
        <v>1</v>
      </c>
      <c r="B46" t="s">
        <v>7</v>
      </c>
      <c r="C46" t="s">
        <v>33</v>
      </c>
      <c r="D46">
        <v>600622</v>
      </c>
      <c r="E46" s="5">
        <v>2096.16</v>
      </c>
    </row>
    <row r="47" spans="1:5" x14ac:dyDescent="0.3">
      <c r="A47">
        <v>1</v>
      </c>
      <c r="B47" t="s">
        <v>35</v>
      </c>
      <c r="C47" t="s">
        <v>34</v>
      </c>
      <c r="D47">
        <v>600622</v>
      </c>
      <c r="E47" s="5">
        <v>2637</v>
      </c>
    </row>
    <row r="48" spans="1:5" x14ac:dyDescent="0.3">
      <c r="A48">
        <v>1</v>
      </c>
      <c r="B48" t="s">
        <v>37</v>
      </c>
      <c r="C48" t="s">
        <v>36</v>
      </c>
      <c r="D48">
        <v>600622</v>
      </c>
      <c r="E48" s="5">
        <v>5421.85</v>
      </c>
    </row>
    <row r="49" spans="1:5" x14ac:dyDescent="0.3">
      <c r="A49">
        <v>1</v>
      </c>
      <c r="B49" t="s">
        <v>23</v>
      </c>
      <c r="C49" t="s">
        <v>38</v>
      </c>
      <c r="D49">
        <v>600622</v>
      </c>
      <c r="E49" s="5">
        <v>11874.55</v>
      </c>
    </row>
    <row r="50" spans="1:5" x14ac:dyDescent="0.3">
      <c r="A50">
        <v>1</v>
      </c>
      <c r="B50" t="s">
        <v>20</v>
      </c>
      <c r="C50" t="s">
        <v>39</v>
      </c>
      <c r="D50">
        <v>611790</v>
      </c>
      <c r="E50" s="5">
        <v>5163</v>
      </c>
    </row>
    <row r="51" spans="1:5" x14ac:dyDescent="0.3">
      <c r="A51">
        <v>1</v>
      </c>
      <c r="B51" t="s">
        <v>41</v>
      </c>
      <c r="C51" t="s">
        <v>42</v>
      </c>
      <c r="D51">
        <v>600622</v>
      </c>
      <c r="E51" s="5">
        <v>16.75</v>
      </c>
    </row>
    <row r="52" spans="1:5" x14ac:dyDescent="0.3">
      <c r="A52">
        <v>1</v>
      </c>
      <c r="B52" t="s">
        <v>17</v>
      </c>
      <c r="C52" t="s">
        <v>42</v>
      </c>
      <c r="D52">
        <v>600632</v>
      </c>
      <c r="E52" s="5">
        <v>3215.11</v>
      </c>
    </row>
    <row r="53" spans="1:5" x14ac:dyDescent="0.3">
      <c r="A53">
        <v>1</v>
      </c>
      <c r="B53" t="s">
        <v>83</v>
      </c>
      <c r="C53" t="s">
        <v>44</v>
      </c>
      <c r="D53">
        <v>600622</v>
      </c>
      <c r="E53" s="5">
        <v>3840.44</v>
      </c>
    </row>
    <row r="54" spans="1:5" x14ac:dyDescent="0.3">
      <c r="A54">
        <v>1</v>
      </c>
      <c r="B54" t="s">
        <v>20</v>
      </c>
      <c r="C54" t="s">
        <v>46</v>
      </c>
      <c r="D54">
        <v>600622</v>
      </c>
      <c r="E54" s="5">
        <v>836.66</v>
      </c>
    </row>
    <row r="55" spans="1:5" x14ac:dyDescent="0.3">
      <c r="A55">
        <v>1</v>
      </c>
      <c r="B55" t="s">
        <v>31</v>
      </c>
      <c r="C55" t="s">
        <v>47</v>
      </c>
      <c r="D55">
        <v>600634</v>
      </c>
      <c r="E55" s="5">
        <v>7002.6</v>
      </c>
    </row>
    <row r="56" spans="1:5" x14ac:dyDescent="0.3">
      <c r="A56">
        <v>1</v>
      </c>
      <c r="B56" t="s">
        <v>49</v>
      </c>
      <c r="C56" t="s">
        <v>48</v>
      </c>
      <c r="D56">
        <v>600622</v>
      </c>
      <c r="E56" s="5">
        <v>163.34</v>
      </c>
    </row>
    <row r="57" spans="1:5" x14ac:dyDescent="0.3">
      <c r="A57">
        <v>1</v>
      </c>
      <c r="B57" t="s">
        <v>49</v>
      </c>
      <c r="C57" t="s">
        <v>48</v>
      </c>
      <c r="D57">
        <v>600622</v>
      </c>
      <c r="E57" s="5">
        <v>172.98</v>
      </c>
    </row>
    <row r="58" spans="1:5" x14ac:dyDescent="0.3">
      <c r="A58">
        <v>1</v>
      </c>
      <c r="B58" t="s">
        <v>12</v>
      </c>
      <c r="C58" t="s">
        <v>50</v>
      </c>
      <c r="D58">
        <v>600622</v>
      </c>
      <c r="E58" s="5">
        <v>994.65</v>
      </c>
    </row>
    <row r="59" spans="1:5" x14ac:dyDescent="0.3">
      <c r="A59">
        <v>1</v>
      </c>
      <c r="B59" t="s">
        <v>25</v>
      </c>
      <c r="C59" t="s">
        <v>51</v>
      </c>
      <c r="D59">
        <v>600622</v>
      </c>
      <c r="E59" s="5">
        <v>5010.2</v>
      </c>
    </row>
    <row r="60" spans="1:5" x14ac:dyDescent="0.3">
      <c r="A60">
        <v>1</v>
      </c>
      <c r="B60" t="s">
        <v>25</v>
      </c>
      <c r="C60" t="s">
        <v>51</v>
      </c>
      <c r="D60">
        <v>600622</v>
      </c>
      <c r="E60" s="5">
        <v>450</v>
      </c>
    </row>
    <row r="61" spans="1:5" x14ac:dyDescent="0.3">
      <c r="A61">
        <v>1</v>
      </c>
      <c r="B61" t="s">
        <v>53</v>
      </c>
      <c r="C61" t="s">
        <v>52</v>
      </c>
      <c r="D61">
        <v>600632</v>
      </c>
      <c r="E61" s="5">
        <v>1251</v>
      </c>
    </row>
    <row r="62" spans="1:5" x14ac:dyDescent="0.3">
      <c r="A62">
        <v>1</v>
      </c>
      <c r="B62" t="s">
        <v>25</v>
      </c>
      <c r="C62" t="s">
        <v>54</v>
      </c>
      <c r="D62">
        <v>600622</v>
      </c>
      <c r="E62" s="5">
        <v>2670.2</v>
      </c>
    </row>
    <row r="63" spans="1:5" x14ac:dyDescent="0.3">
      <c r="A63">
        <v>1</v>
      </c>
      <c r="B63" t="s">
        <v>49</v>
      </c>
      <c r="C63" t="s">
        <v>55</v>
      </c>
      <c r="D63">
        <v>600622</v>
      </c>
      <c r="E63" s="5">
        <v>1302.5</v>
      </c>
    </row>
    <row r="64" spans="1:5" x14ac:dyDescent="0.3">
      <c r="A64">
        <v>1</v>
      </c>
      <c r="B64" t="s">
        <v>49</v>
      </c>
      <c r="C64" t="s">
        <v>55</v>
      </c>
      <c r="D64">
        <v>600622</v>
      </c>
      <c r="E64" s="5">
        <v>2037.75</v>
      </c>
    </row>
    <row r="65" spans="1:5" x14ac:dyDescent="0.3">
      <c r="A65">
        <v>1</v>
      </c>
      <c r="B65" t="s">
        <v>25</v>
      </c>
      <c r="C65" t="s">
        <v>56</v>
      </c>
      <c r="D65">
        <v>600622</v>
      </c>
      <c r="E65" s="5">
        <v>5777</v>
      </c>
    </row>
    <row r="67" spans="1:5" x14ac:dyDescent="0.3">
      <c r="E67" s="5">
        <f>SUM(E4:E66)</f>
        <v>156163.71000000005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2B74-60F2-4F8C-8A1C-7979EC3F7F9D}">
  <dimension ref="A4:G49"/>
  <sheetViews>
    <sheetView workbookViewId="0">
      <selection activeCell="C3" sqref="C3"/>
    </sheetView>
  </sheetViews>
  <sheetFormatPr baseColWidth="10" defaultRowHeight="14.4" x14ac:dyDescent="0.3"/>
  <cols>
    <col min="6" max="7" width="11.44140625" style="1"/>
  </cols>
  <sheetData>
    <row r="4" spans="1:7" x14ac:dyDescent="0.3">
      <c r="A4" t="s">
        <v>1</v>
      </c>
      <c r="B4" t="s">
        <v>0</v>
      </c>
      <c r="C4" t="s">
        <v>21</v>
      </c>
      <c r="D4" t="s">
        <v>5</v>
      </c>
      <c r="E4" t="s">
        <v>2</v>
      </c>
      <c r="F4" s="1" t="s">
        <v>3</v>
      </c>
      <c r="G4" s="1" t="s">
        <v>4</v>
      </c>
    </row>
    <row r="5" spans="1:7" x14ac:dyDescent="0.3">
      <c r="A5" t="s">
        <v>6</v>
      </c>
      <c r="B5" t="s">
        <v>7</v>
      </c>
      <c r="C5">
        <v>28</v>
      </c>
      <c r="D5">
        <v>9470</v>
      </c>
      <c r="E5" t="s">
        <v>8</v>
      </c>
      <c r="F5" s="1">
        <v>343.45</v>
      </c>
      <c r="G5" s="1">
        <v>371.45</v>
      </c>
    </row>
    <row r="6" spans="1:7" x14ac:dyDescent="0.3">
      <c r="A6" t="s">
        <v>9</v>
      </c>
      <c r="B6" t="s">
        <v>7</v>
      </c>
      <c r="C6">
        <v>25</v>
      </c>
      <c r="D6">
        <v>8546</v>
      </c>
      <c r="E6" t="s">
        <v>8</v>
      </c>
      <c r="F6" s="1">
        <v>309.91000000000003</v>
      </c>
      <c r="G6" s="1">
        <v>334.9</v>
      </c>
    </row>
    <row r="7" spans="1:7" x14ac:dyDescent="0.3">
      <c r="A7" t="s">
        <v>10</v>
      </c>
      <c r="B7" t="s">
        <v>11</v>
      </c>
      <c r="C7">
        <v>77</v>
      </c>
      <c r="D7">
        <v>1508</v>
      </c>
      <c r="E7" t="s">
        <v>8</v>
      </c>
      <c r="F7" s="1">
        <v>1227.1099999999999</v>
      </c>
      <c r="G7" s="1">
        <v>1304.1099999999999</v>
      </c>
    </row>
    <row r="8" spans="1:7" x14ac:dyDescent="0.3">
      <c r="A8" t="s">
        <v>72</v>
      </c>
      <c r="B8" t="s">
        <v>12</v>
      </c>
      <c r="C8">
        <v>1</v>
      </c>
      <c r="D8">
        <v>1413</v>
      </c>
      <c r="E8" t="s">
        <v>8</v>
      </c>
      <c r="F8" s="1">
        <v>8.8000000000000007</v>
      </c>
      <c r="G8" s="1">
        <v>9.3000000000000007</v>
      </c>
    </row>
    <row r="9" spans="1:7" x14ac:dyDescent="0.3">
      <c r="A9" t="s">
        <v>13</v>
      </c>
      <c r="B9" t="s">
        <v>60</v>
      </c>
      <c r="C9">
        <v>2</v>
      </c>
      <c r="D9">
        <v>1852</v>
      </c>
      <c r="E9" t="s">
        <v>8</v>
      </c>
      <c r="F9" s="1">
        <v>36.1</v>
      </c>
      <c r="G9" s="1">
        <v>37.1</v>
      </c>
    </row>
    <row r="10" spans="1:7" x14ac:dyDescent="0.3">
      <c r="A10" t="s">
        <v>14</v>
      </c>
      <c r="B10" t="s">
        <v>15</v>
      </c>
      <c r="C10">
        <v>1</v>
      </c>
      <c r="D10">
        <v>1142</v>
      </c>
      <c r="E10" t="s">
        <v>8</v>
      </c>
      <c r="F10" s="1">
        <v>25.7</v>
      </c>
      <c r="G10" s="1">
        <v>26.2</v>
      </c>
    </row>
    <row r="11" spans="1:7" x14ac:dyDescent="0.3">
      <c r="A11" t="s">
        <v>16</v>
      </c>
      <c r="B11" t="s">
        <v>17</v>
      </c>
      <c r="C11">
        <v>54</v>
      </c>
      <c r="D11">
        <v>3220</v>
      </c>
      <c r="E11" t="s">
        <v>18</v>
      </c>
      <c r="F11" s="1">
        <v>1044.8</v>
      </c>
      <c r="G11" s="1">
        <v>1061</v>
      </c>
    </row>
    <row r="12" spans="1:7" x14ac:dyDescent="0.3">
      <c r="A12" t="s">
        <v>70</v>
      </c>
      <c r="B12" t="s">
        <v>71</v>
      </c>
      <c r="C12">
        <v>23</v>
      </c>
      <c r="D12">
        <v>1155.18</v>
      </c>
      <c r="E12" t="s">
        <v>18</v>
      </c>
      <c r="F12" s="1">
        <v>518</v>
      </c>
      <c r="G12" s="1">
        <v>525</v>
      </c>
    </row>
    <row r="13" spans="1:7" x14ac:dyDescent="0.3">
      <c r="A13" t="s">
        <v>19</v>
      </c>
      <c r="B13" t="s">
        <v>20</v>
      </c>
      <c r="C13">
        <v>28</v>
      </c>
      <c r="D13">
        <v>8200</v>
      </c>
      <c r="E13" t="s">
        <v>18</v>
      </c>
      <c r="F13" s="1">
        <v>170.2</v>
      </c>
      <c r="G13" s="1">
        <v>178.6</v>
      </c>
    </row>
    <row r="14" spans="1:7" x14ac:dyDescent="0.3">
      <c r="A14" t="s">
        <v>22</v>
      </c>
      <c r="B14" t="s">
        <v>23</v>
      </c>
      <c r="C14">
        <v>15</v>
      </c>
      <c r="D14">
        <v>2424</v>
      </c>
      <c r="E14" t="s">
        <v>18</v>
      </c>
      <c r="F14" s="1">
        <v>305.5</v>
      </c>
      <c r="G14" s="1">
        <v>310</v>
      </c>
    </row>
    <row r="15" spans="1:7" x14ac:dyDescent="0.3">
      <c r="A15" t="s">
        <v>24</v>
      </c>
      <c r="B15" t="s">
        <v>25</v>
      </c>
      <c r="C15">
        <v>87</v>
      </c>
      <c r="D15">
        <v>6943</v>
      </c>
      <c r="E15" t="s">
        <v>18</v>
      </c>
      <c r="F15" s="1">
        <v>1606.9</v>
      </c>
      <c r="G15" s="1">
        <v>1633</v>
      </c>
    </row>
    <row r="16" spans="1:7" x14ac:dyDescent="0.3">
      <c r="A16" t="s">
        <v>26</v>
      </c>
      <c r="B16" t="s">
        <v>27</v>
      </c>
      <c r="C16">
        <v>1</v>
      </c>
      <c r="D16">
        <v>402</v>
      </c>
      <c r="E16" t="s">
        <v>18</v>
      </c>
      <c r="F16" s="1">
        <v>4.87</v>
      </c>
      <c r="G16" s="1">
        <v>5.37</v>
      </c>
    </row>
    <row r="17" spans="1:7" x14ac:dyDescent="0.3">
      <c r="A17" t="s">
        <v>28</v>
      </c>
      <c r="B17" t="s">
        <v>29</v>
      </c>
      <c r="C17">
        <v>1</v>
      </c>
      <c r="D17">
        <v>1167</v>
      </c>
      <c r="E17" t="s">
        <v>8</v>
      </c>
      <c r="F17" s="1">
        <v>6.88</v>
      </c>
      <c r="G17" s="1">
        <v>7.38</v>
      </c>
    </row>
    <row r="18" spans="1:7" x14ac:dyDescent="0.3">
      <c r="A18" t="s">
        <v>30</v>
      </c>
      <c r="B18" t="s">
        <v>31</v>
      </c>
      <c r="C18">
        <v>1</v>
      </c>
      <c r="D18">
        <v>5250</v>
      </c>
      <c r="E18" t="s">
        <v>8</v>
      </c>
      <c r="F18" s="1">
        <v>174.5</v>
      </c>
      <c r="G18" s="1">
        <v>187</v>
      </c>
    </row>
    <row r="19" spans="1:7" x14ac:dyDescent="0.3">
      <c r="A19" t="s">
        <v>32</v>
      </c>
      <c r="B19" t="s">
        <v>25</v>
      </c>
      <c r="C19">
        <v>25</v>
      </c>
      <c r="D19">
        <v>9501</v>
      </c>
      <c r="E19" t="s">
        <v>18</v>
      </c>
      <c r="F19" s="1">
        <v>203.9</v>
      </c>
      <c r="G19" s="1">
        <v>211.4</v>
      </c>
    </row>
    <row r="20" spans="1:7" x14ac:dyDescent="0.3">
      <c r="A20" t="s">
        <v>33</v>
      </c>
      <c r="B20" t="s">
        <v>7</v>
      </c>
      <c r="C20">
        <v>12</v>
      </c>
      <c r="D20">
        <v>727.83</v>
      </c>
      <c r="E20" t="s">
        <v>18</v>
      </c>
      <c r="F20" s="1">
        <v>236.4</v>
      </c>
      <c r="G20" s="1">
        <v>240</v>
      </c>
    </row>
    <row r="21" spans="1:7" x14ac:dyDescent="0.3">
      <c r="A21" t="s">
        <v>34</v>
      </c>
      <c r="B21" t="s">
        <v>35</v>
      </c>
      <c r="C21">
        <v>19</v>
      </c>
      <c r="D21">
        <v>879</v>
      </c>
      <c r="E21" t="s">
        <v>18</v>
      </c>
      <c r="F21" s="1">
        <v>308.3</v>
      </c>
      <c r="G21" s="1">
        <v>314</v>
      </c>
    </row>
    <row r="22" spans="1:7" x14ac:dyDescent="0.3">
      <c r="A22" t="s">
        <v>36</v>
      </c>
      <c r="B22" t="s">
        <v>37</v>
      </c>
      <c r="C22">
        <v>39</v>
      </c>
      <c r="D22">
        <v>2213</v>
      </c>
      <c r="E22" t="s">
        <v>18</v>
      </c>
      <c r="F22" s="1">
        <v>805.3</v>
      </c>
      <c r="G22" s="1">
        <v>817</v>
      </c>
    </row>
    <row r="23" spans="1:7" x14ac:dyDescent="0.3">
      <c r="A23" t="s">
        <v>38</v>
      </c>
      <c r="B23" t="s">
        <v>23</v>
      </c>
      <c r="C23">
        <v>37</v>
      </c>
      <c r="D23">
        <v>5053</v>
      </c>
      <c r="E23" t="s">
        <v>18</v>
      </c>
      <c r="F23" s="1">
        <v>607.9</v>
      </c>
      <c r="G23" s="1">
        <v>619</v>
      </c>
    </row>
    <row r="24" spans="1:7" x14ac:dyDescent="0.3">
      <c r="A24" t="s">
        <v>39</v>
      </c>
      <c r="B24" t="s">
        <v>20</v>
      </c>
      <c r="C24">
        <v>12</v>
      </c>
      <c r="D24">
        <v>5163</v>
      </c>
      <c r="E24" t="s">
        <v>18</v>
      </c>
      <c r="F24" s="1">
        <v>116</v>
      </c>
      <c r="G24" s="1">
        <v>119</v>
      </c>
    </row>
    <row r="25" spans="1:7" x14ac:dyDescent="0.3">
      <c r="A25" t="s">
        <v>40</v>
      </c>
      <c r="B25" t="s">
        <v>41</v>
      </c>
      <c r="C25">
        <v>1</v>
      </c>
      <c r="D25">
        <v>57</v>
      </c>
      <c r="E25" t="s">
        <v>8</v>
      </c>
      <c r="F25" s="1">
        <v>12.64</v>
      </c>
      <c r="G25" s="1">
        <v>13.64</v>
      </c>
    </row>
    <row r="26" spans="1:7" x14ac:dyDescent="0.3">
      <c r="A26" t="s">
        <v>42</v>
      </c>
      <c r="B26" t="s">
        <v>41</v>
      </c>
      <c r="C26">
        <v>1</v>
      </c>
      <c r="D26">
        <v>6.25</v>
      </c>
      <c r="E26" t="s">
        <v>18</v>
      </c>
      <c r="F26" s="1">
        <v>2.2000000000000002</v>
      </c>
      <c r="G26" s="1">
        <v>2.5</v>
      </c>
    </row>
    <row r="27" spans="1:7" x14ac:dyDescent="0.3">
      <c r="A27" t="s">
        <v>43</v>
      </c>
      <c r="B27" t="s">
        <v>17</v>
      </c>
      <c r="C27">
        <v>19</v>
      </c>
      <c r="D27">
        <v>1027.19</v>
      </c>
      <c r="E27" t="s">
        <v>18</v>
      </c>
      <c r="F27" s="1">
        <v>351.3</v>
      </c>
      <c r="G27" s="1">
        <v>357</v>
      </c>
    </row>
    <row r="28" spans="1:7" x14ac:dyDescent="0.3">
      <c r="A28" t="s">
        <v>44</v>
      </c>
      <c r="B28" t="s">
        <v>45</v>
      </c>
      <c r="C28">
        <v>19</v>
      </c>
      <c r="D28">
        <v>1433</v>
      </c>
      <c r="E28" t="s">
        <v>18</v>
      </c>
      <c r="F28" s="1">
        <v>275.3</v>
      </c>
      <c r="G28" s="1">
        <v>281</v>
      </c>
    </row>
    <row r="29" spans="1:7" x14ac:dyDescent="0.3">
      <c r="A29" t="s">
        <v>46</v>
      </c>
      <c r="B29" t="s">
        <v>20</v>
      </c>
      <c r="C29">
        <v>4</v>
      </c>
      <c r="D29">
        <v>308.73</v>
      </c>
      <c r="E29" t="s">
        <v>18</v>
      </c>
      <c r="F29" s="1">
        <v>77</v>
      </c>
      <c r="G29" s="1">
        <v>79</v>
      </c>
    </row>
    <row r="30" spans="1:7" x14ac:dyDescent="0.3">
      <c r="A30" t="s">
        <v>47</v>
      </c>
      <c r="B30" t="s">
        <v>31</v>
      </c>
      <c r="C30">
        <v>27</v>
      </c>
      <c r="D30">
        <v>3183</v>
      </c>
      <c r="E30" t="s">
        <v>18</v>
      </c>
      <c r="F30" s="1">
        <v>412.9</v>
      </c>
      <c r="G30" s="1">
        <v>421</v>
      </c>
    </row>
    <row r="31" spans="1:7" x14ac:dyDescent="0.3">
      <c r="A31" t="s">
        <v>48</v>
      </c>
      <c r="B31" t="s">
        <v>49</v>
      </c>
      <c r="C31">
        <v>2</v>
      </c>
      <c r="D31">
        <v>128.19999999999999</v>
      </c>
      <c r="E31" t="s">
        <v>18</v>
      </c>
      <c r="F31" s="1">
        <v>33.4</v>
      </c>
      <c r="G31" s="1">
        <v>34</v>
      </c>
    </row>
    <row r="32" spans="1:7" x14ac:dyDescent="0.3">
      <c r="A32" t="s">
        <v>50</v>
      </c>
      <c r="B32" t="s">
        <v>12</v>
      </c>
      <c r="C32">
        <v>7</v>
      </c>
      <c r="D32">
        <v>349</v>
      </c>
      <c r="E32" t="s">
        <v>18</v>
      </c>
      <c r="F32" s="1">
        <v>113.9</v>
      </c>
      <c r="G32" s="1">
        <v>116</v>
      </c>
    </row>
    <row r="33" spans="1:7" x14ac:dyDescent="0.3">
      <c r="A33" t="s">
        <v>51</v>
      </c>
      <c r="B33" t="s">
        <v>25</v>
      </c>
      <c r="C33">
        <v>28</v>
      </c>
      <c r="D33">
        <v>2107</v>
      </c>
      <c r="E33" t="s">
        <v>18</v>
      </c>
      <c r="F33" s="1">
        <v>527.6</v>
      </c>
      <c r="G33" s="1">
        <v>530</v>
      </c>
    </row>
    <row r="34" spans="1:7" x14ac:dyDescent="0.3">
      <c r="A34" t="s">
        <v>52</v>
      </c>
      <c r="B34" t="s">
        <v>53</v>
      </c>
      <c r="C34">
        <v>8</v>
      </c>
      <c r="D34">
        <v>450</v>
      </c>
      <c r="E34" t="s">
        <v>18</v>
      </c>
      <c r="F34" s="1">
        <v>186.6</v>
      </c>
      <c r="G34" s="1">
        <v>189</v>
      </c>
    </row>
    <row r="35" spans="1:7" x14ac:dyDescent="0.3">
      <c r="A35" t="s">
        <v>54</v>
      </c>
      <c r="B35" t="s">
        <v>25</v>
      </c>
      <c r="C35">
        <v>14</v>
      </c>
      <c r="D35">
        <v>1027</v>
      </c>
      <c r="E35" t="s">
        <v>18</v>
      </c>
      <c r="F35" s="1">
        <v>234.8</v>
      </c>
      <c r="G35" s="1">
        <v>239</v>
      </c>
    </row>
    <row r="36" spans="1:7" x14ac:dyDescent="0.3">
      <c r="A36" t="s">
        <v>55</v>
      </c>
      <c r="B36" t="s">
        <v>49</v>
      </c>
      <c r="C36">
        <v>20</v>
      </c>
      <c r="D36">
        <v>1262</v>
      </c>
      <c r="E36" t="s">
        <v>18</v>
      </c>
      <c r="F36" s="1">
        <v>348</v>
      </c>
      <c r="G36" s="1">
        <v>354</v>
      </c>
    </row>
    <row r="37" spans="1:7" x14ac:dyDescent="0.3">
      <c r="A37" t="s">
        <v>56</v>
      </c>
      <c r="B37" t="s">
        <v>25</v>
      </c>
      <c r="C37">
        <v>32</v>
      </c>
      <c r="D37">
        <v>2180</v>
      </c>
      <c r="E37" t="s">
        <v>18</v>
      </c>
      <c r="F37" s="1">
        <v>529.4</v>
      </c>
      <c r="G37" s="1">
        <v>539</v>
      </c>
    </row>
    <row r="38" spans="1:7" x14ac:dyDescent="0.3">
      <c r="A38" t="s">
        <v>57</v>
      </c>
      <c r="B38" t="s">
        <v>11</v>
      </c>
      <c r="C38">
        <v>34</v>
      </c>
      <c r="D38">
        <v>5674</v>
      </c>
      <c r="E38" t="s">
        <v>18</v>
      </c>
      <c r="F38" s="1">
        <v>438</v>
      </c>
      <c r="G38" s="1">
        <v>472.87</v>
      </c>
    </row>
    <row r="39" spans="1:7" x14ac:dyDescent="0.3">
      <c r="A39" t="s">
        <v>57</v>
      </c>
      <c r="B39" t="s">
        <v>58</v>
      </c>
      <c r="C39">
        <v>2</v>
      </c>
      <c r="D39">
        <v>770</v>
      </c>
      <c r="E39" t="s">
        <v>18</v>
      </c>
      <c r="F39" s="1">
        <v>21</v>
      </c>
      <c r="G39" s="1">
        <v>23.56</v>
      </c>
    </row>
    <row r="40" spans="1:7" x14ac:dyDescent="0.3">
      <c r="A40" t="s">
        <v>59</v>
      </c>
      <c r="B40" t="s">
        <v>60</v>
      </c>
      <c r="C40">
        <v>1</v>
      </c>
      <c r="D40">
        <v>1760</v>
      </c>
      <c r="E40" t="s">
        <v>18</v>
      </c>
      <c r="F40" s="1">
        <v>0.93</v>
      </c>
      <c r="G40" s="1">
        <v>1.33</v>
      </c>
    </row>
    <row r="41" spans="1:7" x14ac:dyDescent="0.3">
      <c r="A41" t="s">
        <v>61</v>
      </c>
      <c r="B41" t="s">
        <v>29</v>
      </c>
      <c r="C41">
        <v>1</v>
      </c>
      <c r="D41">
        <v>476</v>
      </c>
      <c r="E41" t="s">
        <v>18</v>
      </c>
      <c r="F41" s="1">
        <v>9.52</v>
      </c>
      <c r="G41" s="1">
        <v>10.52</v>
      </c>
    </row>
    <row r="42" spans="1:7" x14ac:dyDescent="0.3">
      <c r="A42" t="s">
        <v>62</v>
      </c>
      <c r="B42" t="s">
        <v>35</v>
      </c>
      <c r="C42">
        <v>2</v>
      </c>
      <c r="D42">
        <v>2210</v>
      </c>
      <c r="E42" t="s">
        <v>8</v>
      </c>
      <c r="F42" s="1">
        <v>15.01</v>
      </c>
      <c r="G42" s="1">
        <v>15.81</v>
      </c>
    </row>
    <row r="43" spans="1:7" x14ac:dyDescent="0.3">
      <c r="A43" t="s">
        <v>63</v>
      </c>
      <c r="B43" t="s">
        <v>53</v>
      </c>
      <c r="C43">
        <v>1</v>
      </c>
      <c r="D43">
        <v>1800</v>
      </c>
      <c r="E43" t="s">
        <v>18</v>
      </c>
      <c r="F43" s="1">
        <v>4.1399999999999997</v>
      </c>
      <c r="G43" s="1">
        <v>4.3600000000000003</v>
      </c>
    </row>
    <row r="44" spans="1:7" x14ac:dyDescent="0.3">
      <c r="A44" t="s">
        <v>64</v>
      </c>
      <c r="B44" t="s">
        <v>29</v>
      </c>
      <c r="C44">
        <v>1</v>
      </c>
      <c r="D44">
        <v>498</v>
      </c>
      <c r="E44" t="s">
        <v>18</v>
      </c>
      <c r="F44" s="1">
        <v>9.9600000000000009</v>
      </c>
      <c r="G44" s="1">
        <v>10.96</v>
      </c>
    </row>
    <row r="45" spans="1:7" x14ac:dyDescent="0.3">
      <c r="A45" t="s">
        <v>65</v>
      </c>
      <c r="B45" t="s">
        <v>31</v>
      </c>
      <c r="C45">
        <v>3</v>
      </c>
      <c r="D45">
        <v>1785</v>
      </c>
      <c r="E45" t="s">
        <v>18</v>
      </c>
      <c r="F45" s="1">
        <v>11.6</v>
      </c>
      <c r="G45" s="1">
        <v>12.26</v>
      </c>
    </row>
    <row r="46" spans="1:7" x14ac:dyDescent="0.3">
      <c r="A46" t="s">
        <v>66</v>
      </c>
      <c r="B46" t="s">
        <v>67</v>
      </c>
      <c r="C46">
        <v>1</v>
      </c>
      <c r="D46">
        <v>14000</v>
      </c>
      <c r="E46" t="s">
        <v>18</v>
      </c>
      <c r="F46" s="1">
        <v>3.92</v>
      </c>
      <c r="G46" s="1">
        <v>4.32</v>
      </c>
    </row>
    <row r="47" spans="1:7" x14ac:dyDescent="0.3">
      <c r="A47" t="s">
        <v>68</v>
      </c>
      <c r="B47" t="s">
        <v>69</v>
      </c>
      <c r="C47">
        <v>1</v>
      </c>
      <c r="D47">
        <v>1</v>
      </c>
      <c r="E47" t="s">
        <v>8</v>
      </c>
      <c r="F47" s="1">
        <v>1.5</v>
      </c>
      <c r="G47" s="1">
        <v>2.5</v>
      </c>
    </row>
    <row r="49" spans="3:7" x14ac:dyDescent="0.3">
      <c r="C49">
        <f>SUM(C5:C48)</f>
        <v>717</v>
      </c>
      <c r="F49" s="1">
        <f>SUM(F5:F48)</f>
        <v>11681.139999999996</v>
      </c>
      <c r="G49" s="1">
        <f>SUM(G5:G48)</f>
        <v>12024.439999999999</v>
      </c>
    </row>
  </sheetData>
  <autoFilter ref="A4:G47" xr:uid="{7C072B74-60F2-4F8C-8A1C-7979EC3F7F9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2E5C-1487-4BB2-8E18-4D1D3D4D8C0C}">
  <dimension ref="A3:C69"/>
  <sheetViews>
    <sheetView workbookViewId="0">
      <selection activeCell="C16" sqref="C16"/>
    </sheetView>
  </sheetViews>
  <sheetFormatPr baseColWidth="10" defaultRowHeight="14.4" x14ac:dyDescent="0.3"/>
  <cols>
    <col min="1" max="1" width="17.5546875" bestFit="1" customWidth="1"/>
    <col min="2" max="2" width="16.33203125" bestFit="1" customWidth="1"/>
    <col min="3" max="3" width="15.33203125" bestFit="1" customWidth="1"/>
  </cols>
  <sheetData>
    <row r="3" spans="1:3" x14ac:dyDescent="0.3">
      <c r="A3" s="2" t="s">
        <v>73</v>
      </c>
      <c r="B3" t="s">
        <v>85</v>
      </c>
      <c r="C3" t="s">
        <v>84</v>
      </c>
    </row>
    <row r="4" spans="1:3" x14ac:dyDescent="0.3">
      <c r="A4" s="3" t="s">
        <v>41</v>
      </c>
      <c r="B4">
        <v>240.76</v>
      </c>
      <c r="C4">
        <v>1211532</v>
      </c>
    </row>
    <row r="5" spans="1:3" x14ac:dyDescent="0.3">
      <c r="A5" s="4" t="s">
        <v>40</v>
      </c>
      <c r="B5">
        <v>224.01</v>
      </c>
      <c r="C5">
        <v>610910</v>
      </c>
    </row>
    <row r="6" spans="1:3" x14ac:dyDescent="0.3">
      <c r="A6" s="4" t="s">
        <v>42</v>
      </c>
      <c r="B6">
        <v>16.75</v>
      </c>
      <c r="C6">
        <v>600622</v>
      </c>
    </row>
    <row r="7" spans="1:3" x14ac:dyDescent="0.3">
      <c r="A7" s="3" t="s">
        <v>35</v>
      </c>
      <c r="B7">
        <v>3099</v>
      </c>
      <c r="C7">
        <v>2522060</v>
      </c>
    </row>
    <row r="8" spans="1:3" x14ac:dyDescent="0.3">
      <c r="A8" s="4" t="s">
        <v>62</v>
      </c>
      <c r="B8">
        <v>462</v>
      </c>
      <c r="C8">
        <v>1921438</v>
      </c>
    </row>
    <row r="9" spans="1:3" x14ac:dyDescent="0.3">
      <c r="A9" s="4" t="s">
        <v>34</v>
      </c>
      <c r="B9">
        <v>2637</v>
      </c>
      <c r="C9">
        <v>600622</v>
      </c>
    </row>
    <row r="10" spans="1:3" x14ac:dyDescent="0.3">
      <c r="A10" s="3" t="s">
        <v>67</v>
      </c>
      <c r="B10">
        <v>280</v>
      </c>
      <c r="C10">
        <v>59019000</v>
      </c>
    </row>
    <row r="11" spans="1:3" x14ac:dyDescent="0.3">
      <c r="A11" s="4" t="s">
        <v>66</v>
      </c>
      <c r="B11">
        <v>280</v>
      </c>
      <c r="C11">
        <v>59019000</v>
      </c>
    </row>
    <row r="12" spans="1:3" x14ac:dyDescent="0.3">
      <c r="A12" s="3" t="s">
        <v>23</v>
      </c>
      <c r="B12">
        <v>18661.75</v>
      </c>
      <c r="C12">
        <v>1201244</v>
      </c>
    </row>
    <row r="13" spans="1:3" x14ac:dyDescent="0.3">
      <c r="A13" s="4" t="s">
        <v>22</v>
      </c>
      <c r="B13">
        <v>6787.2</v>
      </c>
      <c r="C13">
        <v>600622</v>
      </c>
    </row>
    <row r="14" spans="1:3" x14ac:dyDescent="0.3">
      <c r="A14" s="4" t="s">
        <v>38</v>
      </c>
      <c r="B14">
        <v>11874.55</v>
      </c>
      <c r="C14">
        <v>600622</v>
      </c>
    </row>
    <row r="15" spans="1:3" x14ac:dyDescent="0.3">
      <c r="A15" s="3" t="s">
        <v>49</v>
      </c>
      <c r="B15">
        <v>3676.57</v>
      </c>
      <c r="C15">
        <v>2402488</v>
      </c>
    </row>
    <row r="16" spans="1:3" x14ac:dyDescent="0.3">
      <c r="A16" s="4" t="s">
        <v>48</v>
      </c>
      <c r="B16">
        <v>336.32</v>
      </c>
      <c r="C16">
        <v>1201244</v>
      </c>
    </row>
    <row r="17" spans="1:3" x14ac:dyDescent="0.3">
      <c r="A17" s="4" t="s">
        <v>55</v>
      </c>
      <c r="B17">
        <v>3340.25</v>
      </c>
      <c r="C17">
        <v>1201244</v>
      </c>
    </row>
    <row r="18" spans="1:3" x14ac:dyDescent="0.3">
      <c r="A18" s="3" t="s">
        <v>71</v>
      </c>
      <c r="B18">
        <v>3523.31</v>
      </c>
      <c r="C18">
        <v>600632</v>
      </c>
    </row>
    <row r="19" spans="1:3" x14ac:dyDescent="0.3">
      <c r="A19" s="4" t="s">
        <v>70</v>
      </c>
      <c r="B19">
        <v>3523.31</v>
      </c>
      <c r="C19">
        <v>600632</v>
      </c>
    </row>
    <row r="20" spans="1:3" x14ac:dyDescent="0.3">
      <c r="A20" s="3" t="s">
        <v>83</v>
      </c>
      <c r="B20">
        <v>3840.44</v>
      </c>
      <c r="C20">
        <v>600622</v>
      </c>
    </row>
    <row r="21" spans="1:3" x14ac:dyDescent="0.3">
      <c r="A21" s="4" t="s">
        <v>44</v>
      </c>
      <c r="B21">
        <v>3840.44</v>
      </c>
      <c r="C21">
        <v>600622</v>
      </c>
    </row>
    <row r="22" spans="1:3" x14ac:dyDescent="0.3">
      <c r="A22" s="3" t="s">
        <v>25</v>
      </c>
      <c r="B22">
        <v>40760.800000000003</v>
      </c>
      <c r="C22">
        <v>3614900</v>
      </c>
    </row>
    <row r="23" spans="1:3" x14ac:dyDescent="0.3">
      <c r="A23" s="4" t="s">
        <v>24</v>
      </c>
      <c r="B23">
        <v>17352.400000000001</v>
      </c>
      <c r="C23">
        <v>600622</v>
      </c>
    </row>
    <row r="24" spans="1:3" x14ac:dyDescent="0.3">
      <c r="A24" s="4" t="s">
        <v>32</v>
      </c>
      <c r="B24">
        <v>9501</v>
      </c>
      <c r="C24">
        <v>611790</v>
      </c>
    </row>
    <row r="25" spans="1:3" x14ac:dyDescent="0.3">
      <c r="A25" s="4" t="s">
        <v>51</v>
      </c>
      <c r="B25">
        <v>5460.2</v>
      </c>
      <c r="C25">
        <v>1201244</v>
      </c>
    </row>
    <row r="26" spans="1:3" x14ac:dyDescent="0.3">
      <c r="A26" s="4" t="s">
        <v>54</v>
      </c>
      <c r="B26">
        <v>2670.2</v>
      </c>
      <c r="C26">
        <v>600622</v>
      </c>
    </row>
    <row r="27" spans="1:3" x14ac:dyDescent="0.3">
      <c r="A27" s="4" t="s">
        <v>56</v>
      </c>
      <c r="B27">
        <v>5777</v>
      </c>
      <c r="C27">
        <v>600622</v>
      </c>
    </row>
    <row r="28" spans="1:3" x14ac:dyDescent="0.3">
      <c r="A28" s="3" t="s">
        <v>20</v>
      </c>
      <c r="B28">
        <v>14199.66</v>
      </c>
      <c r="C28">
        <v>1824202</v>
      </c>
    </row>
    <row r="29" spans="1:3" x14ac:dyDescent="0.3">
      <c r="A29" s="4" t="s">
        <v>19</v>
      </c>
      <c r="B29">
        <v>8200</v>
      </c>
      <c r="C29">
        <v>611790</v>
      </c>
    </row>
    <row r="30" spans="1:3" x14ac:dyDescent="0.3">
      <c r="A30" s="4" t="s">
        <v>39</v>
      </c>
      <c r="B30">
        <v>5163</v>
      </c>
      <c r="C30">
        <v>611790</v>
      </c>
    </row>
    <row r="31" spans="1:3" x14ac:dyDescent="0.3">
      <c r="A31" s="4" t="s">
        <v>46</v>
      </c>
      <c r="B31">
        <v>836.66</v>
      </c>
      <c r="C31">
        <v>600622</v>
      </c>
    </row>
    <row r="32" spans="1:3" x14ac:dyDescent="0.3">
      <c r="A32" s="3" t="s">
        <v>7</v>
      </c>
      <c r="B32">
        <v>17229.599999999999</v>
      </c>
      <c r="C32">
        <v>1824202</v>
      </c>
    </row>
    <row r="33" spans="1:3" x14ac:dyDescent="0.3">
      <c r="A33" s="4" t="s">
        <v>6</v>
      </c>
      <c r="B33">
        <v>7954.8</v>
      </c>
      <c r="C33">
        <v>611790</v>
      </c>
    </row>
    <row r="34" spans="1:3" x14ac:dyDescent="0.3">
      <c r="A34" s="4" t="s">
        <v>9</v>
      </c>
      <c r="B34">
        <v>7178.64</v>
      </c>
      <c r="C34">
        <v>611790</v>
      </c>
    </row>
    <row r="35" spans="1:3" x14ac:dyDescent="0.3">
      <c r="A35" s="4" t="s">
        <v>33</v>
      </c>
      <c r="B35">
        <v>2096.16</v>
      </c>
      <c r="C35">
        <v>600622</v>
      </c>
    </row>
    <row r="36" spans="1:3" x14ac:dyDescent="0.3">
      <c r="A36" s="3" t="s">
        <v>11</v>
      </c>
      <c r="B36">
        <v>21907.27</v>
      </c>
      <c r="C36">
        <v>40632372</v>
      </c>
    </row>
    <row r="37" spans="1:3" x14ac:dyDescent="0.3">
      <c r="A37" s="4" t="s">
        <v>57</v>
      </c>
      <c r="B37">
        <v>2225.71</v>
      </c>
      <c r="C37">
        <v>40021910</v>
      </c>
    </row>
    <row r="38" spans="1:3" x14ac:dyDescent="0.3">
      <c r="A38" s="4" t="s">
        <v>10</v>
      </c>
      <c r="B38">
        <v>19681.560000000001</v>
      </c>
      <c r="C38">
        <v>610462</v>
      </c>
    </row>
    <row r="39" spans="1:3" x14ac:dyDescent="0.3">
      <c r="A39" s="3" t="s">
        <v>58</v>
      </c>
      <c r="B39">
        <v>109.34</v>
      </c>
      <c r="C39">
        <v>40021910</v>
      </c>
    </row>
    <row r="40" spans="1:3" x14ac:dyDescent="0.3">
      <c r="A40" s="4" t="s">
        <v>57</v>
      </c>
      <c r="B40">
        <v>109.34</v>
      </c>
      <c r="C40">
        <v>40021910</v>
      </c>
    </row>
    <row r="41" spans="1:3" x14ac:dyDescent="0.3">
      <c r="A41" s="3" t="s">
        <v>31</v>
      </c>
      <c r="B41">
        <v>7556.4800000000005</v>
      </c>
      <c r="C41">
        <v>449011735</v>
      </c>
    </row>
    <row r="42" spans="1:3" x14ac:dyDescent="0.3">
      <c r="A42" s="4" t="s">
        <v>65</v>
      </c>
      <c r="B42">
        <v>446.25</v>
      </c>
      <c r="C42">
        <v>400219101</v>
      </c>
    </row>
    <row r="43" spans="1:3" x14ac:dyDescent="0.3">
      <c r="A43" s="4" t="s">
        <v>30</v>
      </c>
      <c r="B43">
        <v>107.63</v>
      </c>
      <c r="C43">
        <v>48192000</v>
      </c>
    </row>
    <row r="44" spans="1:3" x14ac:dyDescent="0.3">
      <c r="A44" s="4" t="s">
        <v>47</v>
      </c>
      <c r="B44">
        <v>7002.6</v>
      </c>
      <c r="C44">
        <v>600634</v>
      </c>
    </row>
    <row r="45" spans="1:3" x14ac:dyDescent="0.3">
      <c r="A45" s="3" t="s">
        <v>17</v>
      </c>
      <c r="B45">
        <v>12714.11</v>
      </c>
      <c r="C45">
        <v>1201264</v>
      </c>
    </row>
    <row r="46" spans="1:3" x14ac:dyDescent="0.3">
      <c r="A46" s="4" t="s">
        <v>16</v>
      </c>
      <c r="B46">
        <v>9499</v>
      </c>
      <c r="C46">
        <v>600632</v>
      </c>
    </row>
    <row r="47" spans="1:3" x14ac:dyDescent="0.3">
      <c r="A47" s="4" t="s">
        <v>42</v>
      </c>
      <c r="B47">
        <v>3215.11</v>
      </c>
      <c r="C47">
        <v>600632</v>
      </c>
    </row>
    <row r="48" spans="1:3" x14ac:dyDescent="0.3">
      <c r="A48" s="3" t="s">
        <v>12</v>
      </c>
      <c r="B48">
        <v>1061.2</v>
      </c>
      <c r="C48">
        <v>7928564792</v>
      </c>
    </row>
    <row r="49" spans="1:3" x14ac:dyDescent="0.3">
      <c r="A49" s="4" t="s">
        <v>72</v>
      </c>
      <c r="B49">
        <v>66.55</v>
      </c>
      <c r="C49">
        <v>7927964170</v>
      </c>
    </row>
    <row r="50" spans="1:3" x14ac:dyDescent="0.3">
      <c r="A50" s="4" t="s">
        <v>50</v>
      </c>
      <c r="B50">
        <v>994.65</v>
      </c>
      <c r="C50">
        <v>600622</v>
      </c>
    </row>
    <row r="51" spans="1:3" x14ac:dyDescent="0.3">
      <c r="A51" s="3" t="s">
        <v>60</v>
      </c>
      <c r="B51">
        <v>172.53000000000003</v>
      </c>
      <c r="C51">
        <v>8012884790</v>
      </c>
    </row>
    <row r="52" spans="1:3" x14ac:dyDescent="0.3">
      <c r="A52" s="4" t="s">
        <v>59</v>
      </c>
      <c r="B52">
        <v>109.83000000000001</v>
      </c>
      <c r="C52">
        <v>85920700</v>
      </c>
    </row>
    <row r="53" spans="1:3" x14ac:dyDescent="0.3">
      <c r="A53" s="4" t="s">
        <v>13</v>
      </c>
      <c r="B53">
        <v>62.7</v>
      </c>
      <c r="C53">
        <v>7926964090</v>
      </c>
    </row>
    <row r="54" spans="1:3" x14ac:dyDescent="0.3">
      <c r="A54" s="3" t="s">
        <v>15</v>
      </c>
      <c r="B54">
        <v>41.83</v>
      </c>
      <c r="C54">
        <v>7926964099</v>
      </c>
    </row>
    <row r="55" spans="1:3" x14ac:dyDescent="0.3">
      <c r="A55" s="4" t="s">
        <v>14</v>
      </c>
      <c r="B55">
        <v>41.83</v>
      </c>
      <c r="C55">
        <v>7926964099</v>
      </c>
    </row>
    <row r="56" spans="1:3" x14ac:dyDescent="0.3">
      <c r="A56" s="3" t="s">
        <v>37</v>
      </c>
      <c r="B56">
        <v>5421.85</v>
      </c>
      <c r="C56">
        <v>600622</v>
      </c>
    </row>
    <row r="57" spans="1:3" x14ac:dyDescent="0.3">
      <c r="A57" s="4" t="s">
        <v>36</v>
      </c>
      <c r="B57">
        <v>5421.85</v>
      </c>
      <c r="C57">
        <v>600622</v>
      </c>
    </row>
    <row r="58" spans="1:3" x14ac:dyDescent="0.3">
      <c r="A58" s="3" t="s">
        <v>27</v>
      </c>
      <c r="B58">
        <v>18.3</v>
      </c>
      <c r="C58">
        <v>7878772099</v>
      </c>
    </row>
    <row r="59" spans="1:3" x14ac:dyDescent="0.3">
      <c r="A59" s="4" t="s">
        <v>26</v>
      </c>
      <c r="B59">
        <v>18.3</v>
      </c>
      <c r="C59">
        <v>7878772099</v>
      </c>
    </row>
    <row r="60" spans="1:3" x14ac:dyDescent="0.3">
      <c r="A60" s="3" t="s">
        <v>53</v>
      </c>
      <c r="B60">
        <v>1281.5999999999999</v>
      </c>
      <c r="C60">
        <v>1002542</v>
      </c>
    </row>
    <row r="61" spans="1:3" x14ac:dyDescent="0.3">
      <c r="A61" s="4" t="s">
        <v>63</v>
      </c>
      <c r="B61">
        <v>30.6</v>
      </c>
      <c r="C61">
        <v>401910</v>
      </c>
    </row>
    <row r="62" spans="1:3" x14ac:dyDescent="0.3">
      <c r="A62" s="4" t="s">
        <v>52</v>
      </c>
      <c r="B62">
        <v>1251</v>
      </c>
      <c r="C62">
        <v>600632</v>
      </c>
    </row>
    <row r="63" spans="1:3" x14ac:dyDescent="0.3">
      <c r="A63" s="3" t="s">
        <v>29</v>
      </c>
      <c r="B63">
        <v>365.81</v>
      </c>
      <c r="C63">
        <v>8368205181</v>
      </c>
    </row>
    <row r="64" spans="1:3" x14ac:dyDescent="0.3">
      <c r="A64" s="4" t="s">
        <v>61</v>
      </c>
      <c r="B64">
        <v>152.32</v>
      </c>
      <c r="C64">
        <v>40021910</v>
      </c>
    </row>
    <row r="65" spans="1:3" x14ac:dyDescent="0.3">
      <c r="A65" s="4" t="s">
        <v>64</v>
      </c>
      <c r="B65">
        <v>159.36000000000001</v>
      </c>
      <c r="C65">
        <v>400219101</v>
      </c>
    </row>
    <row r="66" spans="1:3" x14ac:dyDescent="0.3">
      <c r="A66" s="4" t="s">
        <v>28</v>
      </c>
      <c r="B66">
        <v>54.129999999999995</v>
      </c>
      <c r="C66">
        <v>7927964170</v>
      </c>
    </row>
    <row r="67" spans="1:3" x14ac:dyDescent="0.3">
      <c r="A67" s="3" t="s">
        <v>82</v>
      </c>
      <c r="B67">
        <v>1.5</v>
      </c>
      <c r="C67">
        <v>5808900000</v>
      </c>
    </row>
    <row r="68" spans="1:3" x14ac:dyDescent="0.3">
      <c r="A68" s="4" t="s">
        <v>68</v>
      </c>
      <c r="B68">
        <v>1.5</v>
      </c>
      <c r="C68">
        <v>5808900000</v>
      </c>
    </row>
    <row r="69" spans="1:3" x14ac:dyDescent="0.3">
      <c r="A69" s="3" t="s">
        <v>74</v>
      </c>
      <c r="B69">
        <v>156163.70999999996</v>
      </c>
      <c r="C69">
        <v>46531582288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4ACB-64E0-4D45-B24D-9F681396DEA3}">
  <dimension ref="A3:D69"/>
  <sheetViews>
    <sheetView workbookViewId="0">
      <selection activeCell="D17" sqref="D17"/>
    </sheetView>
  </sheetViews>
  <sheetFormatPr baseColWidth="10" defaultRowHeight="14.4" x14ac:dyDescent="0.3"/>
  <cols>
    <col min="1" max="1" width="17.5546875" bestFit="1" customWidth="1"/>
    <col min="2" max="2" width="13" bestFit="1" customWidth="1"/>
    <col min="3" max="3" width="12.44140625" bestFit="1" customWidth="1"/>
    <col min="4" max="5" width="15" bestFit="1" customWidth="1"/>
  </cols>
  <sheetData>
    <row r="3" spans="1:4" x14ac:dyDescent="0.3">
      <c r="A3" s="2" t="s">
        <v>73</v>
      </c>
      <c r="B3" t="s">
        <v>77</v>
      </c>
      <c r="C3" t="s">
        <v>75</v>
      </c>
      <c r="D3" t="s">
        <v>76</v>
      </c>
    </row>
    <row r="4" spans="1:4" x14ac:dyDescent="0.3">
      <c r="A4" s="3" t="s">
        <v>41</v>
      </c>
      <c r="B4">
        <v>2</v>
      </c>
      <c r="C4">
        <v>14.84</v>
      </c>
      <c r="D4">
        <v>16.14</v>
      </c>
    </row>
    <row r="5" spans="1:4" x14ac:dyDescent="0.3">
      <c r="A5" s="4" t="s">
        <v>40</v>
      </c>
      <c r="B5">
        <v>1</v>
      </c>
      <c r="C5">
        <v>12.64</v>
      </c>
      <c r="D5">
        <v>13.64</v>
      </c>
    </row>
    <row r="6" spans="1:4" x14ac:dyDescent="0.3">
      <c r="A6" s="4" t="s">
        <v>42</v>
      </c>
      <c r="B6">
        <v>1</v>
      </c>
      <c r="C6">
        <v>2.2000000000000002</v>
      </c>
      <c r="D6">
        <v>2.5</v>
      </c>
    </row>
    <row r="7" spans="1:4" x14ac:dyDescent="0.3">
      <c r="A7" s="3" t="s">
        <v>35</v>
      </c>
      <c r="B7">
        <v>21</v>
      </c>
      <c r="C7">
        <v>323.31</v>
      </c>
      <c r="D7">
        <v>329.81</v>
      </c>
    </row>
    <row r="8" spans="1:4" x14ac:dyDescent="0.3">
      <c r="A8" s="4" t="s">
        <v>62</v>
      </c>
      <c r="B8">
        <v>2</v>
      </c>
      <c r="C8">
        <v>15.01</v>
      </c>
      <c r="D8">
        <v>15.81</v>
      </c>
    </row>
    <row r="9" spans="1:4" x14ac:dyDescent="0.3">
      <c r="A9" s="4" t="s">
        <v>34</v>
      </c>
      <c r="B9">
        <v>19</v>
      </c>
      <c r="C9">
        <v>308.3</v>
      </c>
      <c r="D9">
        <v>314</v>
      </c>
    </row>
    <row r="10" spans="1:4" x14ac:dyDescent="0.3">
      <c r="A10" s="3" t="s">
        <v>67</v>
      </c>
      <c r="B10">
        <v>1</v>
      </c>
      <c r="C10">
        <v>3.92</v>
      </c>
      <c r="D10">
        <v>4.32</v>
      </c>
    </row>
    <row r="11" spans="1:4" x14ac:dyDescent="0.3">
      <c r="A11" s="4" t="s">
        <v>66</v>
      </c>
      <c r="B11">
        <v>1</v>
      </c>
      <c r="C11">
        <v>3.92</v>
      </c>
      <c r="D11">
        <v>4.32</v>
      </c>
    </row>
    <row r="12" spans="1:4" x14ac:dyDescent="0.3">
      <c r="A12" s="3" t="s">
        <v>23</v>
      </c>
      <c r="B12">
        <v>52</v>
      </c>
      <c r="C12">
        <v>913.4</v>
      </c>
      <c r="D12">
        <v>929</v>
      </c>
    </row>
    <row r="13" spans="1:4" x14ac:dyDescent="0.3">
      <c r="A13" s="4" t="s">
        <v>22</v>
      </c>
      <c r="B13">
        <v>15</v>
      </c>
      <c r="C13">
        <v>305.5</v>
      </c>
      <c r="D13">
        <v>310</v>
      </c>
    </row>
    <row r="14" spans="1:4" x14ac:dyDescent="0.3">
      <c r="A14" s="4" t="s">
        <v>38</v>
      </c>
      <c r="B14">
        <v>37</v>
      </c>
      <c r="C14">
        <v>607.9</v>
      </c>
      <c r="D14">
        <v>619</v>
      </c>
    </row>
    <row r="15" spans="1:4" x14ac:dyDescent="0.3">
      <c r="A15" s="3" t="s">
        <v>49</v>
      </c>
      <c r="B15">
        <v>22</v>
      </c>
      <c r="C15">
        <v>381.4</v>
      </c>
      <c r="D15">
        <v>388</v>
      </c>
    </row>
    <row r="16" spans="1:4" x14ac:dyDescent="0.3">
      <c r="A16" s="4" t="s">
        <v>48</v>
      </c>
      <c r="B16">
        <v>2</v>
      </c>
      <c r="C16">
        <v>33.4</v>
      </c>
      <c r="D16">
        <v>34</v>
      </c>
    </row>
    <row r="17" spans="1:4" x14ac:dyDescent="0.3">
      <c r="A17" s="4" t="s">
        <v>55</v>
      </c>
      <c r="B17">
        <v>20</v>
      </c>
      <c r="C17">
        <v>348</v>
      </c>
      <c r="D17">
        <v>354</v>
      </c>
    </row>
    <row r="18" spans="1:4" x14ac:dyDescent="0.3">
      <c r="A18" s="3" t="s">
        <v>71</v>
      </c>
      <c r="B18">
        <v>23</v>
      </c>
      <c r="C18">
        <v>518</v>
      </c>
      <c r="D18">
        <v>525</v>
      </c>
    </row>
    <row r="19" spans="1:4" x14ac:dyDescent="0.3">
      <c r="A19" s="4" t="s">
        <v>70</v>
      </c>
      <c r="B19">
        <v>23</v>
      </c>
      <c r="C19">
        <v>518</v>
      </c>
      <c r="D19">
        <v>525</v>
      </c>
    </row>
    <row r="20" spans="1:4" x14ac:dyDescent="0.3">
      <c r="A20" s="3" t="s">
        <v>45</v>
      </c>
      <c r="B20">
        <v>19</v>
      </c>
      <c r="C20">
        <v>275.3</v>
      </c>
      <c r="D20">
        <v>281</v>
      </c>
    </row>
    <row r="21" spans="1:4" x14ac:dyDescent="0.3">
      <c r="A21" s="4" t="s">
        <v>44</v>
      </c>
      <c r="B21">
        <v>19</v>
      </c>
      <c r="C21">
        <v>275.3</v>
      </c>
      <c r="D21">
        <v>281</v>
      </c>
    </row>
    <row r="22" spans="1:4" x14ac:dyDescent="0.3">
      <c r="A22" s="3" t="s">
        <v>25</v>
      </c>
      <c r="B22">
        <v>186</v>
      </c>
      <c r="C22">
        <v>3102.6000000000004</v>
      </c>
      <c r="D22">
        <v>3152.4</v>
      </c>
    </row>
    <row r="23" spans="1:4" x14ac:dyDescent="0.3">
      <c r="A23" s="4" t="s">
        <v>24</v>
      </c>
      <c r="B23">
        <v>87</v>
      </c>
      <c r="C23">
        <v>1606.9</v>
      </c>
      <c r="D23">
        <v>1633</v>
      </c>
    </row>
    <row r="24" spans="1:4" x14ac:dyDescent="0.3">
      <c r="A24" s="4" t="s">
        <v>32</v>
      </c>
      <c r="B24">
        <v>25</v>
      </c>
      <c r="C24">
        <v>203.9</v>
      </c>
      <c r="D24">
        <v>211.4</v>
      </c>
    </row>
    <row r="25" spans="1:4" x14ac:dyDescent="0.3">
      <c r="A25" s="4" t="s">
        <v>51</v>
      </c>
      <c r="B25">
        <v>28</v>
      </c>
      <c r="C25">
        <v>527.6</v>
      </c>
      <c r="D25">
        <v>530</v>
      </c>
    </row>
    <row r="26" spans="1:4" x14ac:dyDescent="0.3">
      <c r="A26" s="4" t="s">
        <v>54</v>
      </c>
      <c r="B26">
        <v>14</v>
      </c>
      <c r="C26">
        <v>234.8</v>
      </c>
      <c r="D26">
        <v>239</v>
      </c>
    </row>
    <row r="27" spans="1:4" x14ac:dyDescent="0.3">
      <c r="A27" s="4" t="s">
        <v>56</v>
      </c>
      <c r="B27">
        <v>32</v>
      </c>
      <c r="C27">
        <v>529.4</v>
      </c>
      <c r="D27">
        <v>539</v>
      </c>
    </row>
    <row r="28" spans="1:4" x14ac:dyDescent="0.3">
      <c r="A28" s="3" t="s">
        <v>20</v>
      </c>
      <c r="B28">
        <v>44</v>
      </c>
      <c r="C28">
        <v>363.2</v>
      </c>
      <c r="D28">
        <v>376.6</v>
      </c>
    </row>
    <row r="29" spans="1:4" x14ac:dyDescent="0.3">
      <c r="A29" s="4" t="s">
        <v>19</v>
      </c>
      <c r="B29">
        <v>28</v>
      </c>
      <c r="C29">
        <v>170.2</v>
      </c>
      <c r="D29">
        <v>178.6</v>
      </c>
    </row>
    <row r="30" spans="1:4" x14ac:dyDescent="0.3">
      <c r="A30" s="4" t="s">
        <v>39</v>
      </c>
      <c r="B30">
        <v>12</v>
      </c>
      <c r="C30">
        <v>116</v>
      </c>
      <c r="D30">
        <v>119</v>
      </c>
    </row>
    <row r="31" spans="1:4" x14ac:dyDescent="0.3">
      <c r="A31" s="4" t="s">
        <v>46</v>
      </c>
      <c r="B31">
        <v>4</v>
      </c>
      <c r="C31">
        <v>77</v>
      </c>
      <c r="D31">
        <v>79</v>
      </c>
    </row>
    <row r="32" spans="1:4" x14ac:dyDescent="0.3">
      <c r="A32" s="3" t="s">
        <v>7</v>
      </c>
      <c r="B32">
        <v>65</v>
      </c>
      <c r="C32">
        <v>889.76</v>
      </c>
      <c r="D32">
        <v>946.34999999999991</v>
      </c>
    </row>
    <row r="33" spans="1:4" x14ac:dyDescent="0.3">
      <c r="A33" s="4" t="s">
        <v>6</v>
      </c>
      <c r="B33">
        <v>28</v>
      </c>
      <c r="C33">
        <v>343.45</v>
      </c>
      <c r="D33">
        <v>371.45</v>
      </c>
    </row>
    <row r="34" spans="1:4" x14ac:dyDescent="0.3">
      <c r="A34" s="4" t="s">
        <v>9</v>
      </c>
      <c r="B34">
        <v>25</v>
      </c>
      <c r="C34">
        <v>309.91000000000003</v>
      </c>
      <c r="D34">
        <v>334.9</v>
      </c>
    </row>
    <row r="35" spans="1:4" x14ac:dyDescent="0.3">
      <c r="A35" s="4" t="s">
        <v>33</v>
      </c>
      <c r="B35">
        <v>12</v>
      </c>
      <c r="C35">
        <v>236.4</v>
      </c>
      <c r="D35">
        <v>240</v>
      </c>
    </row>
    <row r="36" spans="1:4" x14ac:dyDescent="0.3">
      <c r="A36" s="3" t="s">
        <v>11</v>
      </c>
      <c r="B36">
        <v>111</v>
      </c>
      <c r="C36">
        <v>1665.11</v>
      </c>
      <c r="D36">
        <v>1776.98</v>
      </c>
    </row>
    <row r="37" spans="1:4" x14ac:dyDescent="0.3">
      <c r="A37" s="4" t="s">
        <v>57</v>
      </c>
      <c r="B37">
        <v>34</v>
      </c>
      <c r="C37">
        <v>438</v>
      </c>
      <c r="D37">
        <v>472.87</v>
      </c>
    </row>
    <row r="38" spans="1:4" x14ac:dyDescent="0.3">
      <c r="A38" s="4" t="s">
        <v>10</v>
      </c>
      <c r="B38">
        <v>77</v>
      </c>
      <c r="C38">
        <v>1227.1099999999999</v>
      </c>
      <c r="D38">
        <v>1304.1099999999999</v>
      </c>
    </row>
    <row r="39" spans="1:4" x14ac:dyDescent="0.3">
      <c r="A39" s="3" t="s">
        <v>58</v>
      </c>
      <c r="B39">
        <v>2</v>
      </c>
      <c r="C39">
        <v>21</v>
      </c>
      <c r="D39">
        <v>23.56</v>
      </c>
    </row>
    <row r="40" spans="1:4" x14ac:dyDescent="0.3">
      <c r="A40" s="4" t="s">
        <v>57</v>
      </c>
      <c r="B40">
        <v>2</v>
      </c>
      <c r="C40">
        <v>21</v>
      </c>
      <c r="D40">
        <v>23.56</v>
      </c>
    </row>
    <row r="41" spans="1:4" x14ac:dyDescent="0.3">
      <c r="A41" s="3" t="s">
        <v>31</v>
      </c>
      <c r="B41">
        <v>31</v>
      </c>
      <c r="C41">
        <v>599</v>
      </c>
      <c r="D41">
        <v>620.26</v>
      </c>
    </row>
    <row r="42" spans="1:4" x14ac:dyDescent="0.3">
      <c r="A42" s="4" t="s">
        <v>65</v>
      </c>
      <c r="B42">
        <v>3</v>
      </c>
      <c r="C42">
        <v>11.6</v>
      </c>
      <c r="D42">
        <v>12.26</v>
      </c>
    </row>
    <row r="43" spans="1:4" x14ac:dyDescent="0.3">
      <c r="A43" s="4" t="s">
        <v>30</v>
      </c>
      <c r="B43">
        <v>1</v>
      </c>
      <c r="C43">
        <v>174.5</v>
      </c>
      <c r="D43">
        <v>187</v>
      </c>
    </row>
    <row r="44" spans="1:4" x14ac:dyDescent="0.3">
      <c r="A44" s="4" t="s">
        <v>47</v>
      </c>
      <c r="B44">
        <v>27</v>
      </c>
      <c r="C44">
        <v>412.9</v>
      </c>
      <c r="D44">
        <v>421</v>
      </c>
    </row>
    <row r="45" spans="1:4" x14ac:dyDescent="0.3">
      <c r="A45" s="3" t="s">
        <v>17</v>
      </c>
      <c r="B45">
        <v>73</v>
      </c>
      <c r="C45">
        <v>1396.1</v>
      </c>
      <c r="D45">
        <v>1418</v>
      </c>
    </row>
    <row r="46" spans="1:4" x14ac:dyDescent="0.3">
      <c r="A46" s="4" t="s">
        <v>16</v>
      </c>
      <c r="B46">
        <v>54</v>
      </c>
      <c r="C46">
        <v>1044.8</v>
      </c>
      <c r="D46">
        <v>1061</v>
      </c>
    </row>
    <row r="47" spans="1:4" x14ac:dyDescent="0.3">
      <c r="A47" s="4" t="s">
        <v>43</v>
      </c>
      <c r="B47">
        <v>19</v>
      </c>
      <c r="C47">
        <v>351.3</v>
      </c>
      <c r="D47">
        <v>357</v>
      </c>
    </row>
    <row r="48" spans="1:4" x14ac:dyDescent="0.3">
      <c r="A48" s="3" t="s">
        <v>12</v>
      </c>
      <c r="B48">
        <v>8</v>
      </c>
      <c r="C48">
        <v>122.7</v>
      </c>
      <c r="D48">
        <v>125.3</v>
      </c>
    </row>
    <row r="49" spans="1:4" x14ac:dyDescent="0.3">
      <c r="A49" s="4" t="s">
        <v>72</v>
      </c>
      <c r="B49">
        <v>1</v>
      </c>
      <c r="C49">
        <v>8.8000000000000007</v>
      </c>
      <c r="D49">
        <v>9.3000000000000007</v>
      </c>
    </row>
    <row r="50" spans="1:4" x14ac:dyDescent="0.3">
      <c r="A50" s="4" t="s">
        <v>50</v>
      </c>
      <c r="B50">
        <v>7</v>
      </c>
      <c r="C50">
        <v>113.9</v>
      </c>
      <c r="D50">
        <v>116</v>
      </c>
    </row>
    <row r="51" spans="1:4" x14ac:dyDescent="0.3">
      <c r="A51" s="3" t="s">
        <v>60</v>
      </c>
      <c r="B51">
        <v>3</v>
      </c>
      <c r="C51">
        <v>37.03</v>
      </c>
      <c r="D51">
        <v>38.43</v>
      </c>
    </row>
    <row r="52" spans="1:4" x14ac:dyDescent="0.3">
      <c r="A52" s="4" t="s">
        <v>59</v>
      </c>
      <c r="B52">
        <v>1</v>
      </c>
      <c r="C52">
        <v>0.93</v>
      </c>
      <c r="D52">
        <v>1.33</v>
      </c>
    </row>
    <row r="53" spans="1:4" x14ac:dyDescent="0.3">
      <c r="A53" s="4" t="s">
        <v>13</v>
      </c>
      <c r="B53">
        <v>2</v>
      </c>
      <c r="C53">
        <v>36.1</v>
      </c>
      <c r="D53">
        <v>37.1</v>
      </c>
    </row>
    <row r="54" spans="1:4" x14ac:dyDescent="0.3">
      <c r="A54" s="3" t="s">
        <v>15</v>
      </c>
      <c r="B54">
        <v>1</v>
      </c>
      <c r="C54">
        <v>25.7</v>
      </c>
      <c r="D54">
        <v>26.2</v>
      </c>
    </row>
    <row r="55" spans="1:4" x14ac:dyDescent="0.3">
      <c r="A55" s="4" t="s">
        <v>14</v>
      </c>
      <c r="B55">
        <v>1</v>
      </c>
      <c r="C55">
        <v>25.7</v>
      </c>
      <c r="D55">
        <v>26.2</v>
      </c>
    </row>
    <row r="56" spans="1:4" x14ac:dyDescent="0.3">
      <c r="A56" s="3" t="s">
        <v>37</v>
      </c>
      <c r="B56">
        <v>39</v>
      </c>
      <c r="C56">
        <v>805.3</v>
      </c>
      <c r="D56">
        <v>817</v>
      </c>
    </row>
    <row r="57" spans="1:4" x14ac:dyDescent="0.3">
      <c r="A57" s="4" t="s">
        <v>36</v>
      </c>
      <c r="B57">
        <v>39</v>
      </c>
      <c r="C57">
        <v>805.3</v>
      </c>
      <c r="D57">
        <v>817</v>
      </c>
    </row>
    <row r="58" spans="1:4" x14ac:dyDescent="0.3">
      <c r="A58" s="3" t="s">
        <v>27</v>
      </c>
      <c r="B58">
        <v>1</v>
      </c>
      <c r="C58">
        <v>4.87</v>
      </c>
      <c r="D58">
        <v>5.37</v>
      </c>
    </row>
    <row r="59" spans="1:4" x14ac:dyDescent="0.3">
      <c r="A59" s="4" t="s">
        <v>26</v>
      </c>
      <c r="B59">
        <v>1</v>
      </c>
      <c r="C59">
        <v>4.87</v>
      </c>
      <c r="D59">
        <v>5.37</v>
      </c>
    </row>
    <row r="60" spans="1:4" x14ac:dyDescent="0.3">
      <c r="A60" s="3" t="s">
        <v>53</v>
      </c>
      <c r="B60">
        <v>9</v>
      </c>
      <c r="C60">
        <v>190.73999999999998</v>
      </c>
      <c r="D60">
        <v>193.36</v>
      </c>
    </row>
    <row r="61" spans="1:4" x14ac:dyDescent="0.3">
      <c r="A61" s="4" t="s">
        <v>63</v>
      </c>
      <c r="B61">
        <v>1</v>
      </c>
      <c r="C61">
        <v>4.1399999999999997</v>
      </c>
      <c r="D61">
        <v>4.3600000000000003</v>
      </c>
    </row>
    <row r="62" spans="1:4" x14ac:dyDescent="0.3">
      <c r="A62" s="4" t="s">
        <v>52</v>
      </c>
      <c r="B62">
        <v>8</v>
      </c>
      <c r="C62">
        <v>186.6</v>
      </c>
      <c r="D62">
        <v>189</v>
      </c>
    </row>
    <row r="63" spans="1:4" x14ac:dyDescent="0.3">
      <c r="A63" s="3" t="s">
        <v>29</v>
      </c>
      <c r="B63">
        <v>3</v>
      </c>
      <c r="C63">
        <v>26.36</v>
      </c>
      <c r="D63">
        <v>28.86</v>
      </c>
    </row>
    <row r="64" spans="1:4" x14ac:dyDescent="0.3">
      <c r="A64" s="4" t="s">
        <v>61</v>
      </c>
      <c r="B64">
        <v>1</v>
      </c>
      <c r="C64">
        <v>9.52</v>
      </c>
      <c r="D64">
        <v>10.52</v>
      </c>
    </row>
    <row r="65" spans="1:4" x14ac:dyDescent="0.3">
      <c r="A65" s="4" t="s">
        <v>64</v>
      </c>
      <c r="B65">
        <v>1</v>
      </c>
      <c r="C65">
        <v>9.9600000000000009</v>
      </c>
      <c r="D65">
        <v>10.96</v>
      </c>
    </row>
    <row r="66" spans="1:4" x14ac:dyDescent="0.3">
      <c r="A66" s="4" t="s">
        <v>28</v>
      </c>
      <c r="B66">
        <v>1</v>
      </c>
      <c r="C66">
        <v>6.88</v>
      </c>
      <c r="D66">
        <v>7.38</v>
      </c>
    </row>
    <row r="67" spans="1:4" x14ac:dyDescent="0.3">
      <c r="A67" s="3" t="s">
        <v>69</v>
      </c>
      <c r="B67">
        <v>1</v>
      </c>
      <c r="C67">
        <v>1.5</v>
      </c>
      <c r="D67">
        <v>2.5</v>
      </c>
    </row>
    <row r="68" spans="1:4" x14ac:dyDescent="0.3">
      <c r="A68" s="4" t="s">
        <v>68</v>
      </c>
      <c r="B68">
        <v>1</v>
      </c>
      <c r="C68">
        <v>1.5</v>
      </c>
      <c r="D68">
        <v>2.5</v>
      </c>
    </row>
    <row r="69" spans="1:4" x14ac:dyDescent="0.3">
      <c r="A69" s="3" t="s">
        <v>74</v>
      </c>
      <c r="B69">
        <v>717</v>
      </c>
      <c r="C69">
        <v>11681.139999999998</v>
      </c>
      <c r="D69">
        <v>12024.44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DA16-45EF-4CA2-8839-B025B13B3B55}">
  <dimension ref="B4:I126"/>
  <sheetViews>
    <sheetView workbookViewId="0">
      <selection activeCell="B4" sqref="B4"/>
    </sheetView>
  </sheetViews>
  <sheetFormatPr baseColWidth="10" defaultRowHeight="14.4" x14ac:dyDescent="0.3"/>
  <cols>
    <col min="7" max="7" width="13.5546875" bestFit="1" customWidth="1"/>
    <col min="8" max="8" width="9" bestFit="1" customWidth="1"/>
  </cols>
  <sheetData>
    <row r="4" spans="2:9" x14ac:dyDescent="0.3">
      <c r="B4" s="7" t="s">
        <v>41</v>
      </c>
      <c r="C4" s="8">
        <v>2</v>
      </c>
      <c r="D4" s="8">
        <v>14.84</v>
      </c>
      <c r="E4" s="8">
        <v>16.14</v>
      </c>
      <c r="G4" s="7" t="s">
        <v>41</v>
      </c>
      <c r="H4" s="8">
        <v>240.76</v>
      </c>
      <c r="I4" s="8">
        <v>1211532</v>
      </c>
    </row>
    <row r="5" spans="2:9" x14ac:dyDescent="0.3">
      <c r="B5" s="4" t="s">
        <v>40</v>
      </c>
      <c r="C5">
        <v>1</v>
      </c>
      <c r="D5">
        <v>12.64</v>
      </c>
      <c r="E5">
        <v>13.64</v>
      </c>
      <c r="G5" s="4" t="s">
        <v>40</v>
      </c>
      <c r="H5">
        <v>224.01</v>
      </c>
      <c r="I5">
        <v>610910</v>
      </c>
    </row>
    <row r="6" spans="2:9" x14ac:dyDescent="0.3">
      <c r="B6" s="4" t="s">
        <v>42</v>
      </c>
      <c r="C6">
        <v>1</v>
      </c>
      <c r="D6">
        <v>2.2000000000000002</v>
      </c>
      <c r="E6">
        <v>2.5</v>
      </c>
      <c r="G6" s="4" t="s">
        <v>42</v>
      </c>
      <c r="H6">
        <v>16.75</v>
      </c>
      <c r="I6">
        <v>600622</v>
      </c>
    </row>
    <row r="7" spans="2:9" x14ac:dyDescent="0.3">
      <c r="B7" s="7" t="s">
        <v>35</v>
      </c>
      <c r="C7" s="8">
        <v>21</v>
      </c>
      <c r="D7" s="8">
        <v>323.31</v>
      </c>
      <c r="E7" s="8">
        <v>329.81</v>
      </c>
      <c r="G7" s="7" t="s">
        <v>35</v>
      </c>
      <c r="H7" s="8">
        <v>3099</v>
      </c>
      <c r="I7" s="8">
        <v>2522060</v>
      </c>
    </row>
    <row r="8" spans="2:9" x14ac:dyDescent="0.3">
      <c r="B8" s="4" t="s">
        <v>62</v>
      </c>
      <c r="C8">
        <v>2</v>
      </c>
      <c r="D8">
        <v>15.01</v>
      </c>
      <c r="E8">
        <v>15.81</v>
      </c>
      <c r="G8" s="4" t="s">
        <v>62</v>
      </c>
      <c r="H8">
        <v>462</v>
      </c>
      <c r="I8">
        <v>1921438</v>
      </c>
    </row>
    <row r="9" spans="2:9" x14ac:dyDescent="0.3">
      <c r="B9" s="4" t="s">
        <v>34</v>
      </c>
      <c r="C9">
        <v>19</v>
      </c>
      <c r="D9">
        <v>308.3</v>
      </c>
      <c r="E9">
        <v>314</v>
      </c>
      <c r="G9" s="4" t="s">
        <v>34</v>
      </c>
      <c r="H9">
        <v>2637</v>
      </c>
      <c r="I9">
        <v>600622</v>
      </c>
    </row>
    <row r="10" spans="2:9" x14ac:dyDescent="0.3">
      <c r="B10" s="7" t="s">
        <v>67</v>
      </c>
      <c r="C10" s="8">
        <v>1</v>
      </c>
      <c r="D10" s="8">
        <v>3.92</v>
      </c>
      <c r="E10" s="8">
        <v>4.32</v>
      </c>
      <c r="G10" s="7" t="s">
        <v>67</v>
      </c>
      <c r="H10" s="8">
        <v>280</v>
      </c>
      <c r="I10" s="8">
        <v>59019000</v>
      </c>
    </row>
    <row r="11" spans="2:9" x14ac:dyDescent="0.3">
      <c r="B11" s="4" t="s">
        <v>66</v>
      </c>
      <c r="C11">
        <v>1</v>
      </c>
      <c r="D11">
        <v>3.92</v>
      </c>
      <c r="E11">
        <v>4.32</v>
      </c>
      <c r="G11" s="4" t="s">
        <v>66</v>
      </c>
      <c r="H11">
        <v>280</v>
      </c>
      <c r="I11">
        <v>59019000</v>
      </c>
    </row>
    <row r="12" spans="2:9" x14ac:dyDescent="0.3">
      <c r="B12" s="7" t="s">
        <v>23</v>
      </c>
      <c r="C12" s="8">
        <v>52</v>
      </c>
      <c r="D12" s="8">
        <v>913.4</v>
      </c>
      <c r="E12" s="8">
        <v>929</v>
      </c>
      <c r="G12" s="7" t="s">
        <v>23</v>
      </c>
      <c r="H12" s="8">
        <v>18661.75</v>
      </c>
      <c r="I12" s="8">
        <v>1201244</v>
      </c>
    </row>
    <row r="13" spans="2:9" x14ac:dyDescent="0.3">
      <c r="B13" s="4" t="s">
        <v>22</v>
      </c>
      <c r="C13">
        <v>15</v>
      </c>
      <c r="D13">
        <v>305.5</v>
      </c>
      <c r="E13">
        <v>310</v>
      </c>
      <c r="G13" s="4" t="s">
        <v>22</v>
      </c>
      <c r="H13">
        <v>6787.2</v>
      </c>
      <c r="I13">
        <v>600622</v>
      </c>
    </row>
    <row r="14" spans="2:9" x14ac:dyDescent="0.3">
      <c r="B14" s="4" t="s">
        <v>38</v>
      </c>
      <c r="C14">
        <v>37</v>
      </c>
      <c r="D14">
        <v>607.9</v>
      </c>
      <c r="E14">
        <v>619</v>
      </c>
      <c r="G14" s="4" t="s">
        <v>38</v>
      </c>
      <c r="H14">
        <v>11874.55</v>
      </c>
      <c r="I14">
        <v>600622</v>
      </c>
    </row>
    <row r="15" spans="2:9" x14ac:dyDescent="0.3">
      <c r="B15" s="7" t="s">
        <v>49</v>
      </c>
      <c r="C15" s="8">
        <v>22</v>
      </c>
      <c r="D15" s="8">
        <v>381.4</v>
      </c>
      <c r="E15" s="8">
        <v>388</v>
      </c>
      <c r="G15" s="7" t="s">
        <v>49</v>
      </c>
      <c r="H15" s="8">
        <v>3676.57</v>
      </c>
      <c r="I15" s="8">
        <v>2402488</v>
      </c>
    </row>
    <row r="16" spans="2:9" x14ac:dyDescent="0.3">
      <c r="B16" s="4" t="s">
        <v>48</v>
      </c>
      <c r="C16">
        <v>2</v>
      </c>
      <c r="D16">
        <v>33.4</v>
      </c>
      <c r="E16">
        <v>34</v>
      </c>
      <c r="G16" s="4" t="s">
        <v>48</v>
      </c>
      <c r="H16">
        <v>336.32</v>
      </c>
      <c r="I16">
        <v>1201244</v>
      </c>
    </row>
    <row r="17" spans="2:9" x14ac:dyDescent="0.3">
      <c r="B17" s="4" t="s">
        <v>55</v>
      </c>
      <c r="C17">
        <v>20</v>
      </c>
      <c r="D17">
        <v>348</v>
      </c>
      <c r="E17">
        <v>354</v>
      </c>
      <c r="G17" s="4" t="s">
        <v>55</v>
      </c>
      <c r="H17">
        <v>3340.25</v>
      </c>
      <c r="I17">
        <v>1201244</v>
      </c>
    </row>
    <row r="18" spans="2:9" x14ac:dyDescent="0.3">
      <c r="B18" s="7" t="s">
        <v>71</v>
      </c>
      <c r="C18" s="8">
        <v>23</v>
      </c>
      <c r="D18" s="8">
        <v>518</v>
      </c>
      <c r="E18" s="8">
        <v>525</v>
      </c>
      <c r="G18" s="7" t="s">
        <v>71</v>
      </c>
      <c r="H18" s="8">
        <v>3523.31</v>
      </c>
      <c r="I18" s="8">
        <v>600632</v>
      </c>
    </row>
    <row r="19" spans="2:9" x14ac:dyDescent="0.3">
      <c r="B19" s="4" t="s">
        <v>70</v>
      </c>
      <c r="C19">
        <v>23</v>
      </c>
      <c r="D19">
        <v>518</v>
      </c>
      <c r="E19">
        <v>525</v>
      </c>
      <c r="G19" s="4" t="s">
        <v>70</v>
      </c>
      <c r="H19">
        <v>3523.31</v>
      </c>
      <c r="I19">
        <v>600632</v>
      </c>
    </row>
    <row r="20" spans="2:9" x14ac:dyDescent="0.3">
      <c r="B20" s="7" t="s">
        <v>45</v>
      </c>
      <c r="C20" s="8">
        <v>19</v>
      </c>
      <c r="D20" s="8">
        <v>275.3</v>
      </c>
      <c r="E20" s="8">
        <v>281</v>
      </c>
      <c r="G20" s="7" t="s">
        <v>83</v>
      </c>
      <c r="H20" s="8">
        <v>3840.44</v>
      </c>
      <c r="I20" s="8">
        <v>600622</v>
      </c>
    </row>
    <row r="21" spans="2:9" x14ac:dyDescent="0.3">
      <c r="B21" s="4" t="s">
        <v>44</v>
      </c>
      <c r="C21">
        <v>19</v>
      </c>
      <c r="D21">
        <v>275.3</v>
      </c>
      <c r="E21">
        <v>281</v>
      </c>
      <c r="G21" s="4" t="s">
        <v>44</v>
      </c>
      <c r="H21">
        <v>3840.44</v>
      </c>
      <c r="I21">
        <v>600622</v>
      </c>
    </row>
    <row r="22" spans="2:9" x14ac:dyDescent="0.3">
      <c r="B22" s="7" t="s">
        <v>25</v>
      </c>
      <c r="C22" s="8">
        <v>186</v>
      </c>
      <c r="D22" s="8">
        <v>3102.6000000000004</v>
      </c>
      <c r="E22" s="8">
        <v>3152.4</v>
      </c>
      <c r="G22" s="7" t="s">
        <v>25</v>
      </c>
      <c r="H22" s="8">
        <v>40760.800000000003</v>
      </c>
      <c r="I22" s="8">
        <v>3614900</v>
      </c>
    </row>
    <row r="23" spans="2:9" x14ac:dyDescent="0.3">
      <c r="B23" s="4" t="s">
        <v>24</v>
      </c>
      <c r="C23">
        <v>87</v>
      </c>
      <c r="D23">
        <v>1606.9</v>
      </c>
      <c r="E23">
        <v>1633</v>
      </c>
      <c r="G23" s="4" t="s">
        <v>24</v>
      </c>
      <c r="H23">
        <v>17352.400000000001</v>
      </c>
      <c r="I23">
        <v>600622</v>
      </c>
    </row>
    <row r="24" spans="2:9" x14ac:dyDescent="0.3">
      <c r="B24" s="4" t="s">
        <v>32</v>
      </c>
      <c r="C24">
        <v>25</v>
      </c>
      <c r="D24">
        <v>203.9</v>
      </c>
      <c r="E24">
        <v>211.4</v>
      </c>
      <c r="G24" s="4" t="s">
        <v>32</v>
      </c>
      <c r="H24">
        <v>9501</v>
      </c>
      <c r="I24">
        <v>611790</v>
      </c>
    </row>
    <row r="25" spans="2:9" x14ac:dyDescent="0.3">
      <c r="B25" s="4" t="s">
        <v>51</v>
      </c>
      <c r="C25">
        <v>28</v>
      </c>
      <c r="D25">
        <v>527.6</v>
      </c>
      <c r="E25">
        <v>530</v>
      </c>
      <c r="G25" s="4" t="s">
        <v>51</v>
      </c>
      <c r="H25">
        <v>5460.2</v>
      </c>
      <c r="I25">
        <v>1201244</v>
      </c>
    </row>
    <row r="26" spans="2:9" x14ac:dyDescent="0.3">
      <c r="B26" s="4" t="s">
        <v>54</v>
      </c>
      <c r="C26">
        <v>14</v>
      </c>
      <c r="D26">
        <v>234.8</v>
      </c>
      <c r="E26">
        <v>239</v>
      </c>
      <c r="G26" s="4" t="s">
        <v>54</v>
      </c>
      <c r="H26">
        <v>2670.2</v>
      </c>
      <c r="I26">
        <v>600622</v>
      </c>
    </row>
    <row r="27" spans="2:9" x14ac:dyDescent="0.3">
      <c r="B27" s="4" t="s">
        <v>56</v>
      </c>
      <c r="C27">
        <v>32</v>
      </c>
      <c r="D27">
        <v>529.4</v>
      </c>
      <c r="E27">
        <v>539</v>
      </c>
      <c r="G27" s="4" t="s">
        <v>56</v>
      </c>
      <c r="H27">
        <v>5777</v>
      </c>
      <c r="I27">
        <v>600622</v>
      </c>
    </row>
    <row r="28" spans="2:9" x14ac:dyDescent="0.3">
      <c r="B28" s="7" t="s">
        <v>20</v>
      </c>
      <c r="C28" s="8">
        <v>44</v>
      </c>
      <c r="D28" s="8">
        <v>363.2</v>
      </c>
      <c r="E28" s="8">
        <v>376.6</v>
      </c>
      <c r="G28" s="7" t="s">
        <v>20</v>
      </c>
      <c r="H28" s="8">
        <v>14199.66</v>
      </c>
      <c r="I28" s="8">
        <v>1824202</v>
      </c>
    </row>
    <row r="29" spans="2:9" x14ac:dyDescent="0.3">
      <c r="B29" s="4" t="s">
        <v>19</v>
      </c>
      <c r="C29">
        <v>28</v>
      </c>
      <c r="D29">
        <v>170.2</v>
      </c>
      <c r="E29">
        <v>178.6</v>
      </c>
      <c r="G29" s="4" t="s">
        <v>19</v>
      </c>
      <c r="H29">
        <v>8200</v>
      </c>
      <c r="I29">
        <v>611790</v>
      </c>
    </row>
    <row r="30" spans="2:9" x14ac:dyDescent="0.3">
      <c r="B30" s="4" t="s">
        <v>39</v>
      </c>
      <c r="C30">
        <v>12</v>
      </c>
      <c r="D30">
        <v>116</v>
      </c>
      <c r="E30">
        <v>119</v>
      </c>
      <c r="G30" s="4" t="s">
        <v>39</v>
      </c>
      <c r="H30">
        <v>5163</v>
      </c>
      <c r="I30">
        <v>611790</v>
      </c>
    </row>
    <row r="31" spans="2:9" x14ac:dyDescent="0.3">
      <c r="B31" s="4" t="s">
        <v>46</v>
      </c>
      <c r="C31">
        <v>4</v>
      </c>
      <c r="D31">
        <v>77</v>
      </c>
      <c r="E31">
        <v>79</v>
      </c>
      <c r="G31" s="4" t="s">
        <v>46</v>
      </c>
      <c r="H31">
        <v>836.66</v>
      </c>
      <c r="I31">
        <v>600622</v>
      </c>
    </row>
    <row r="32" spans="2:9" x14ac:dyDescent="0.3">
      <c r="B32" s="7" t="s">
        <v>7</v>
      </c>
      <c r="C32" s="8">
        <v>65</v>
      </c>
      <c r="D32" s="8">
        <v>889.76</v>
      </c>
      <c r="E32" s="8">
        <v>946.34999999999991</v>
      </c>
      <c r="G32" s="7" t="s">
        <v>7</v>
      </c>
      <c r="H32" s="8">
        <v>17229.599999999999</v>
      </c>
      <c r="I32" s="8">
        <v>1824202</v>
      </c>
    </row>
    <row r="33" spans="2:9" x14ac:dyDescent="0.3">
      <c r="B33" s="4" t="s">
        <v>6</v>
      </c>
      <c r="C33">
        <v>28</v>
      </c>
      <c r="D33">
        <v>343.45</v>
      </c>
      <c r="E33">
        <v>371.45</v>
      </c>
      <c r="G33" s="4" t="s">
        <v>6</v>
      </c>
      <c r="H33">
        <v>7954.8</v>
      </c>
      <c r="I33">
        <v>611790</v>
      </c>
    </row>
    <row r="34" spans="2:9" x14ac:dyDescent="0.3">
      <c r="B34" s="4" t="s">
        <v>9</v>
      </c>
      <c r="C34">
        <v>25</v>
      </c>
      <c r="D34">
        <v>309.91000000000003</v>
      </c>
      <c r="E34">
        <v>334.9</v>
      </c>
      <c r="G34" s="4" t="s">
        <v>9</v>
      </c>
      <c r="H34">
        <v>7178.64</v>
      </c>
      <c r="I34">
        <v>611790</v>
      </c>
    </row>
    <row r="35" spans="2:9" x14ac:dyDescent="0.3">
      <c r="B35" s="4" t="s">
        <v>33</v>
      </c>
      <c r="C35">
        <v>12</v>
      </c>
      <c r="D35">
        <v>236.4</v>
      </c>
      <c r="E35">
        <v>240</v>
      </c>
      <c r="G35" s="4" t="s">
        <v>33</v>
      </c>
      <c r="H35">
        <v>2096.16</v>
      </c>
      <c r="I35">
        <v>600622</v>
      </c>
    </row>
    <row r="36" spans="2:9" x14ac:dyDescent="0.3">
      <c r="B36" s="7" t="s">
        <v>11</v>
      </c>
      <c r="C36" s="8">
        <v>111</v>
      </c>
      <c r="D36" s="8">
        <v>1665.11</v>
      </c>
      <c r="E36" s="8">
        <v>1776.98</v>
      </c>
      <c r="G36" s="7" t="s">
        <v>11</v>
      </c>
      <c r="H36" s="8">
        <v>21907.27</v>
      </c>
      <c r="I36" s="8">
        <v>40632372</v>
      </c>
    </row>
    <row r="37" spans="2:9" x14ac:dyDescent="0.3">
      <c r="B37" s="4" t="s">
        <v>57</v>
      </c>
      <c r="C37">
        <v>34</v>
      </c>
      <c r="D37">
        <v>438</v>
      </c>
      <c r="E37">
        <v>472.87</v>
      </c>
      <c r="G37" s="4" t="s">
        <v>57</v>
      </c>
      <c r="H37">
        <v>2225.71</v>
      </c>
      <c r="I37">
        <v>40021910</v>
      </c>
    </row>
    <row r="38" spans="2:9" x14ac:dyDescent="0.3">
      <c r="B38" s="4" t="s">
        <v>10</v>
      </c>
      <c r="C38">
        <v>77</v>
      </c>
      <c r="D38">
        <v>1227.1099999999999</v>
      </c>
      <c r="E38">
        <v>1304.1099999999999</v>
      </c>
      <c r="G38" s="4" t="s">
        <v>10</v>
      </c>
      <c r="H38">
        <v>19681.560000000001</v>
      </c>
      <c r="I38">
        <v>610462</v>
      </c>
    </row>
    <row r="39" spans="2:9" x14ac:dyDescent="0.3">
      <c r="B39" s="7" t="s">
        <v>58</v>
      </c>
      <c r="C39" s="8">
        <v>2</v>
      </c>
      <c r="D39" s="8">
        <v>21</v>
      </c>
      <c r="E39" s="8">
        <v>23.56</v>
      </c>
      <c r="G39" s="7" t="s">
        <v>58</v>
      </c>
      <c r="H39" s="8">
        <v>109.34</v>
      </c>
      <c r="I39" s="8">
        <v>40021910</v>
      </c>
    </row>
    <row r="40" spans="2:9" x14ac:dyDescent="0.3">
      <c r="B40" s="4" t="s">
        <v>57</v>
      </c>
      <c r="C40">
        <v>2</v>
      </c>
      <c r="D40">
        <v>21</v>
      </c>
      <c r="E40">
        <v>23.56</v>
      </c>
      <c r="G40" s="4" t="s">
        <v>57</v>
      </c>
      <c r="H40">
        <v>109.34</v>
      </c>
      <c r="I40">
        <v>40021910</v>
      </c>
    </row>
    <row r="41" spans="2:9" x14ac:dyDescent="0.3">
      <c r="B41" s="7" t="s">
        <v>31</v>
      </c>
      <c r="C41" s="8">
        <v>31</v>
      </c>
      <c r="D41" s="8">
        <v>599</v>
      </c>
      <c r="E41" s="8">
        <v>620.26</v>
      </c>
      <c r="G41" s="7" t="s">
        <v>31</v>
      </c>
      <c r="H41" s="8">
        <v>7556.4800000000005</v>
      </c>
      <c r="I41" s="8">
        <v>449011735</v>
      </c>
    </row>
    <row r="42" spans="2:9" x14ac:dyDescent="0.3">
      <c r="B42" s="4" t="s">
        <v>65</v>
      </c>
      <c r="C42">
        <v>3</v>
      </c>
      <c r="D42">
        <v>11.6</v>
      </c>
      <c r="E42">
        <v>12.26</v>
      </c>
      <c r="G42" s="4" t="s">
        <v>65</v>
      </c>
      <c r="H42">
        <v>446.25</v>
      </c>
      <c r="I42">
        <v>400219101</v>
      </c>
    </row>
    <row r="43" spans="2:9" x14ac:dyDescent="0.3">
      <c r="B43" s="4" t="s">
        <v>30</v>
      </c>
      <c r="C43">
        <v>1</v>
      </c>
      <c r="D43">
        <v>174.5</v>
      </c>
      <c r="E43">
        <v>187</v>
      </c>
      <c r="G43" s="4" t="s">
        <v>30</v>
      </c>
      <c r="H43">
        <v>107.63</v>
      </c>
      <c r="I43">
        <v>48192000</v>
      </c>
    </row>
    <row r="44" spans="2:9" x14ac:dyDescent="0.3">
      <c r="B44" s="4" t="s">
        <v>47</v>
      </c>
      <c r="C44">
        <v>27</v>
      </c>
      <c r="D44">
        <v>412.9</v>
      </c>
      <c r="E44">
        <v>421</v>
      </c>
      <c r="G44" s="4" t="s">
        <v>47</v>
      </c>
      <c r="H44">
        <v>7002.6</v>
      </c>
      <c r="I44">
        <v>600634</v>
      </c>
    </row>
    <row r="45" spans="2:9" x14ac:dyDescent="0.3">
      <c r="B45" s="7" t="s">
        <v>17</v>
      </c>
      <c r="C45" s="8">
        <v>73</v>
      </c>
      <c r="D45" s="8">
        <v>1396.1</v>
      </c>
      <c r="E45" s="8">
        <v>1418</v>
      </c>
      <c r="G45" s="7" t="s">
        <v>17</v>
      </c>
      <c r="H45" s="8">
        <v>12714.11</v>
      </c>
      <c r="I45" s="8">
        <v>1201264</v>
      </c>
    </row>
    <row r="46" spans="2:9" x14ac:dyDescent="0.3">
      <c r="B46" s="4" t="s">
        <v>16</v>
      </c>
      <c r="C46">
        <v>54</v>
      </c>
      <c r="D46">
        <v>1044.8</v>
      </c>
      <c r="E46">
        <v>1061</v>
      </c>
      <c r="G46" s="4" t="s">
        <v>16</v>
      </c>
      <c r="H46">
        <v>9499</v>
      </c>
      <c r="I46">
        <v>600632</v>
      </c>
    </row>
    <row r="47" spans="2:9" x14ac:dyDescent="0.3">
      <c r="B47" s="4" t="s">
        <v>43</v>
      </c>
      <c r="C47">
        <v>19</v>
      </c>
      <c r="D47">
        <v>351.3</v>
      </c>
      <c r="E47">
        <v>357</v>
      </c>
      <c r="G47" s="4" t="s">
        <v>42</v>
      </c>
      <c r="H47">
        <v>3215.11</v>
      </c>
      <c r="I47">
        <v>600632</v>
      </c>
    </row>
    <row r="48" spans="2:9" x14ac:dyDescent="0.3">
      <c r="B48" s="7" t="s">
        <v>12</v>
      </c>
      <c r="C48" s="8">
        <v>8</v>
      </c>
      <c r="D48" s="8">
        <v>122.7</v>
      </c>
      <c r="E48" s="8">
        <v>125.3</v>
      </c>
      <c r="G48" s="7" t="s">
        <v>12</v>
      </c>
      <c r="H48" s="8">
        <v>1061.2</v>
      </c>
      <c r="I48" s="8">
        <v>7928564792</v>
      </c>
    </row>
    <row r="49" spans="2:9" x14ac:dyDescent="0.3">
      <c r="B49" s="4" t="s">
        <v>72</v>
      </c>
      <c r="C49">
        <v>1</v>
      </c>
      <c r="D49">
        <v>8.8000000000000007</v>
      </c>
      <c r="E49">
        <v>9.3000000000000007</v>
      </c>
      <c r="G49" s="4" t="s">
        <v>72</v>
      </c>
      <c r="H49">
        <v>66.55</v>
      </c>
      <c r="I49">
        <v>7927964170</v>
      </c>
    </row>
    <row r="50" spans="2:9" x14ac:dyDescent="0.3">
      <c r="B50" s="4" t="s">
        <v>50</v>
      </c>
      <c r="C50">
        <v>7</v>
      </c>
      <c r="D50">
        <v>113.9</v>
      </c>
      <c r="E50">
        <v>116</v>
      </c>
      <c r="G50" s="4" t="s">
        <v>50</v>
      </c>
      <c r="H50">
        <v>994.65</v>
      </c>
      <c r="I50">
        <v>600622</v>
      </c>
    </row>
    <row r="51" spans="2:9" x14ac:dyDescent="0.3">
      <c r="B51" s="7" t="s">
        <v>60</v>
      </c>
      <c r="C51" s="8">
        <v>3</v>
      </c>
      <c r="D51" s="8">
        <v>37.03</v>
      </c>
      <c r="E51" s="8">
        <v>38.43</v>
      </c>
      <c r="G51" s="7" t="s">
        <v>60</v>
      </c>
      <c r="H51" s="8">
        <v>172.53000000000003</v>
      </c>
      <c r="I51" s="8">
        <v>8012884790</v>
      </c>
    </row>
    <row r="52" spans="2:9" x14ac:dyDescent="0.3">
      <c r="B52" s="4" t="s">
        <v>59</v>
      </c>
      <c r="C52">
        <v>1</v>
      </c>
      <c r="D52">
        <v>0.93</v>
      </c>
      <c r="E52">
        <v>1.33</v>
      </c>
      <c r="G52" s="4" t="s">
        <v>59</v>
      </c>
      <c r="H52">
        <v>109.83000000000001</v>
      </c>
      <c r="I52">
        <v>85920700</v>
      </c>
    </row>
    <row r="53" spans="2:9" x14ac:dyDescent="0.3">
      <c r="B53" s="4" t="s">
        <v>13</v>
      </c>
      <c r="C53">
        <v>2</v>
      </c>
      <c r="D53">
        <v>36.1</v>
      </c>
      <c r="E53">
        <v>37.1</v>
      </c>
      <c r="G53" s="4" t="s">
        <v>13</v>
      </c>
      <c r="H53">
        <v>62.7</v>
      </c>
      <c r="I53">
        <v>7926964090</v>
      </c>
    </row>
    <row r="54" spans="2:9" x14ac:dyDescent="0.3">
      <c r="B54" s="7" t="s">
        <v>15</v>
      </c>
      <c r="C54" s="8">
        <v>1</v>
      </c>
      <c r="D54" s="8">
        <v>25.7</v>
      </c>
      <c r="E54" s="8">
        <v>26.2</v>
      </c>
      <c r="G54" s="7" t="s">
        <v>15</v>
      </c>
      <c r="H54" s="8">
        <v>41.83</v>
      </c>
      <c r="I54" s="8">
        <v>7926964099</v>
      </c>
    </row>
    <row r="55" spans="2:9" x14ac:dyDescent="0.3">
      <c r="B55" s="4" t="s">
        <v>14</v>
      </c>
      <c r="C55">
        <v>1</v>
      </c>
      <c r="D55">
        <v>25.7</v>
      </c>
      <c r="E55">
        <v>26.2</v>
      </c>
      <c r="G55" s="4" t="s">
        <v>14</v>
      </c>
      <c r="H55">
        <v>41.83</v>
      </c>
      <c r="I55">
        <v>7926964099</v>
      </c>
    </row>
    <row r="56" spans="2:9" x14ac:dyDescent="0.3">
      <c r="B56" s="7" t="s">
        <v>37</v>
      </c>
      <c r="C56" s="8">
        <v>39</v>
      </c>
      <c r="D56" s="8">
        <v>805.3</v>
      </c>
      <c r="E56" s="8">
        <v>817</v>
      </c>
      <c r="G56" s="7" t="s">
        <v>37</v>
      </c>
      <c r="H56" s="8">
        <v>5421.85</v>
      </c>
      <c r="I56" s="8">
        <v>600622</v>
      </c>
    </row>
    <row r="57" spans="2:9" x14ac:dyDescent="0.3">
      <c r="B57" s="4" t="s">
        <v>36</v>
      </c>
      <c r="C57">
        <v>39</v>
      </c>
      <c r="D57">
        <v>805.3</v>
      </c>
      <c r="E57">
        <v>817</v>
      </c>
      <c r="G57" s="4" t="s">
        <v>36</v>
      </c>
      <c r="H57">
        <v>5421.85</v>
      </c>
      <c r="I57">
        <v>600622</v>
      </c>
    </row>
    <row r="58" spans="2:9" x14ac:dyDescent="0.3">
      <c r="B58" s="7" t="s">
        <v>27</v>
      </c>
      <c r="C58" s="8">
        <v>1</v>
      </c>
      <c r="D58" s="8">
        <v>4.87</v>
      </c>
      <c r="E58" s="8">
        <v>5.37</v>
      </c>
      <c r="G58" s="7" t="s">
        <v>27</v>
      </c>
      <c r="H58" s="8">
        <v>18.3</v>
      </c>
      <c r="I58" s="8">
        <v>7878772099</v>
      </c>
    </row>
    <row r="59" spans="2:9" x14ac:dyDescent="0.3">
      <c r="B59" s="4" t="s">
        <v>26</v>
      </c>
      <c r="C59">
        <v>1</v>
      </c>
      <c r="D59">
        <v>4.87</v>
      </c>
      <c r="E59">
        <v>5.37</v>
      </c>
      <c r="G59" s="4" t="s">
        <v>26</v>
      </c>
      <c r="H59">
        <v>18.3</v>
      </c>
      <c r="I59">
        <v>7878772099</v>
      </c>
    </row>
    <row r="60" spans="2:9" x14ac:dyDescent="0.3">
      <c r="B60" s="7" t="s">
        <v>53</v>
      </c>
      <c r="C60" s="8">
        <v>9</v>
      </c>
      <c r="D60" s="8">
        <v>190.73999999999998</v>
      </c>
      <c r="E60" s="8">
        <v>193.36</v>
      </c>
      <c r="G60" s="7" t="s">
        <v>53</v>
      </c>
      <c r="H60" s="8">
        <v>1281.5999999999999</v>
      </c>
      <c r="I60" s="8">
        <v>1002542</v>
      </c>
    </row>
    <row r="61" spans="2:9" x14ac:dyDescent="0.3">
      <c r="B61" s="4" t="s">
        <v>63</v>
      </c>
      <c r="C61">
        <v>1</v>
      </c>
      <c r="D61">
        <v>4.1399999999999997</v>
      </c>
      <c r="E61">
        <v>4.3600000000000003</v>
      </c>
      <c r="G61" s="4" t="s">
        <v>63</v>
      </c>
      <c r="H61">
        <v>30.6</v>
      </c>
      <c r="I61">
        <v>401910</v>
      </c>
    </row>
    <row r="62" spans="2:9" x14ac:dyDescent="0.3">
      <c r="B62" s="4" t="s">
        <v>52</v>
      </c>
      <c r="C62">
        <v>8</v>
      </c>
      <c r="D62">
        <v>186.6</v>
      </c>
      <c r="E62">
        <v>189</v>
      </c>
      <c r="G62" s="4" t="s">
        <v>52</v>
      </c>
      <c r="H62">
        <v>1251</v>
      </c>
      <c r="I62">
        <v>600632</v>
      </c>
    </row>
    <row r="63" spans="2:9" x14ac:dyDescent="0.3">
      <c r="B63" s="7" t="s">
        <v>29</v>
      </c>
      <c r="C63" s="8">
        <v>3</v>
      </c>
      <c r="D63" s="8">
        <v>26.36</v>
      </c>
      <c r="E63" s="8">
        <v>28.86</v>
      </c>
      <c r="G63" s="7" t="s">
        <v>29</v>
      </c>
      <c r="H63" s="8">
        <v>365.81</v>
      </c>
      <c r="I63" s="8">
        <v>8368205181</v>
      </c>
    </row>
    <row r="64" spans="2:9" x14ac:dyDescent="0.3">
      <c r="B64" s="4" t="s">
        <v>61</v>
      </c>
      <c r="C64">
        <v>1</v>
      </c>
      <c r="D64">
        <v>9.52</v>
      </c>
      <c r="E64">
        <v>10.52</v>
      </c>
      <c r="G64" s="4" t="s">
        <v>61</v>
      </c>
      <c r="H64">
        <v>152.32</v>
      </c>
      <c r="I64">
        <v>40021910</v>
      </c>
    </row>
    <row r="65" spans="2:9" x14ac:dyDescent="0.3">
      <c r="B65" s="4" t="s">
        <v>64</v>
      </c>
      <c r="C65">
        <v>1</v>
      </c>
      <c r="D65">
        <v>9.9600000000000009</v>
      </c>
      <c r="E65">
        <v>10.96</v>
      </c>
      <c r="G65" s="4" t="s">
        <v>64</v>
      </c>
      <c r="H65">
        <v>159.36000000000001</v>
      </c>
      <c r="I65">
        <v>400219101</v>
      </c>
    </row>
    <row r="66" spans="2:9" x14ac:dyDescent="0.3">
      <c r="B66" s="4" t="s">
        <v>28</v>
      </c>
      <c r="C66">
        <v>1</v>
      </c>
      <c r="D66">
        <v>6.88</v>
      </c>
      <c r="E66">
        <v>7.38</v>
      </c>
      <c r="G66" s="4" t="s">
        <v>28</v>
      </c>
      <c r="H66">
        <v>54.129999999999995</v>
      </c>
      <c r="I66">
        <v>7927964170</v>
      </c>
    </row>
    <row r="67" spans="2:9" x14ac:dyDescent="0.3">
      <c r="B67" s="7" t="s">
        <v>69</v>
      </c>
      <c r="C67" s="8">
        <v>1</v>
      </c>
      <c r="D67" s="8">
        <v>1.5</v>
      </c>
      <c r="E67" s="8">
        <v>2.5</v>
      </c>
      <c r="G67" s="7" t="s">
        <v>82</v>
      </c>
      <c r="H67" s="8">
        <v>1.5</v>
      </c>
      <c r="I67" s="8">
        <v>5808900000</v>
      </c>
    </row>
    <row r="68" spans="2:9" x14ac:dyDescent="0.3">
      <c r="B68" s="4" t="s">
        <v>68</v>
      </c>
      <c r="C68">
        <v>1</v>
      </c>
      <c r="D68">
        <v>1.5</v>
      </c>
      <c r="E68">
        <v>2.5</v>
      </c>
      <c r="G68" s="4" t="s">
        <v>68</v>
      </c>
      <c r="H68">
        <v>1.5</v>
      </c>
      <c r="I68">
        <v>5808900000</v>
      </c>
    </row>
    <row r="69" spans="2:9" x14ac:dyDescent="0.3">
      <c r="B69" s="4"/>
    </row>
    <row r="71" spans="2:9" x14ac:dyDescent="0.3">
      <c r="G71" s="9"/>
      <c r="H71" s="10"/>
    </row>
    <row r="72" spans="2:9" x14ac:dyDescent="0.3">
      <c r="G72" s="6"/>
    </row>
    <row r="73" spans="2:9" x14ac:dyDescent="0.3">
      <c r="G73" s="7"/>
      <c r="H73" s="8"/>
    </row>
    <row r="74" spans="2:9" x14ac:dyDescent="0.3">
      <c r="G74" s="9"/>
      <c r="H74" s="10"/>
    </row>
    <row r="75" spans="2:9" x14ac:dyDescent="0.3">
      <c r="G75" s="6"/>
    </row>
    <row r="76" spans="2:9" x14ac:dyDescent="0.3">
      <c r="G76" s="9"/>
      <c r="H76" s="10"/>
    </row>
    <row r="77" spans="2:9" x14ac:dyDescent="0.3">
      <c r="G77" s="6"/>
    </row>
    <row r="78" spans="2:9" x14ac:dyDescent="0.3">
      <c r="G78" s="7"/>
      <c r="H78" s="8"/>
    </row>
    <row r="79" spans="2:9" x14ac:dyDescent="0.3">
      <c r="G79" s="9"/>
      <c r="H79" s="10"/>
    </row>
    <row r="80" spans="2:9" x14ac:dyDescent="0.3">
      <c r="G80" s="6"/>
    </row>
    <row r="81" spans="7:8" x14ac:dyDescent="0.3">
      <c r="G81" s="6"/>
    </row>
    <row r="82" spans="7:8" x14ac:dyDescent="0.3">
      <c r="G82" s="6"/>
    </row>
    <row r="83" spans="7:8" x14ac:dyDescent="0.3">
      <c r="G83" s="6"/>
    </row>
    <row r="84" spans="7:8" x14ac:dyDescent="0.3">
      <c r="G84" s="9"/>
      <c r="H84" s="10"/>
    </row>
    <row r="85" spans="7:8" x14ac:dyDescent="0.3">
      <c r="G85" s="6"/>
    </row>
    <row r="86" spans="7:8" x14ac:dyDescent="0.3">
      <c r="G86" s="7"/>
      <c r="H86" s="8"/>
    </row>
    <row r="87" spans="7:8" x14ac:dyDescent="0.3">
      <c r="G87" s="9"/>
      <c r="H87" s="10"/>
    </row>
    <row r="88" spans="7:8" x14ac:dyDescent="0.3">
      <c r="G88" s="6"/>
    </row>
    <row r="89" spans="7:8" x14ac:dyDescent="0.3">
      <c r="G89" s="6"/>
    </row>
    <row r="90" spans="7:8" x14ac:dyDescent="0.3">
      <c r="G90" s="9"/>
      <c r="H90" s="10"/>
    </row>
    <row r="91" spans="7:8" x14ac:dyDescent="0.3">
      <c r="G91" s="6"/>
    </row>
    <row r="92" spans="7:8" x14ac:dyDescent="0.3">
      <c r="G92" s="6"/>
    </row>
    <row r="93" spans="7:8" x14ac:dyDescent="0.3">
      <c r="G93" s="6"/>
    </row>
    <row r="94" spans="7:8" x14ac:dyDescent="0.3">
      <c r="G94" s="6"/>
    </row>
    <row r="95" spans="7:8" x14ac:dyDescent="0.3">
      <c r="G95" s="7"/>
      <c r="H95" s="8"/>
    </row>
    <row r="96" spans="7:8" x14ac:dyDescent="0.3">
      <c r="G96" s="9"/>
      <c r="H96" s="10"/>
    </row>
    <row r="97" spans="7:8" x14ac:dyDescent="0.3">
      <c r="G97" s="6"/>
    </row>
    <row r="98" spans="7:8" x14ac:dyDescent="0.3">
      <c r="G98" s="6"/>
    </row>
    <row r="99" spans="7:8" x14ac:dyDescent="0.3">
      <c r="G99" s="6"/>
    </row>
    <row r="100" spans="7:8" x14ac:dyDescent="0.3">
      <c r="G100" s="6"/>
    </row>
    <row r="101" spans="7:8" x14ac:dyDescent="0.3">
      <c r="G101" s="7"/>
      <c r="H101" s="8"/>
    </row>
    <row r="102" spans="7:8" x14ac:dyDescent="0.3">
      <c r="G102" s="9"/>
      <c r="H102" s="10"/>
    </row>
    <row r="103" spans="7:8" x14ac:dyDescent="0.3">
      <c r="G103" s="6"/>
    </row>
    <row r="104" spans="7:8" x14ac:dyDescent="0.3">
      <c r="G104" s="7"/>
      <c r="H104" s="8"/>
    </row>
    <row r="105" spans="7:8" x14ac:dyDescent="0.3">
      <c r="G105" s="9"/>
      <c r="H105" s="10"/>
    </row>
    <row r="106" spans="7:8" x14ac:dyDescent="0.3">
      <c r="G106" s="6"/>
    </row>
    <row r="107" spans="7:8" x14ac:dyDescent="0.3">
      <c r="G107" s="6"/>
    </row>
    <row r="108" spans="7:8" x14ac:dyDescent="0.3">
      <c r="G108" s="6"/>
    </row>
    <row r="109" spans="7:8" x14ac:dyDescent="0.3">
      <c r="G109" s="7"/>
      <c r="H109" s="8"/>
    </row>
    <row r="110" spans="7:8" x14ac:dyDescent="0.3">
      <c r="G110" s="9"/>
      <c r="H110" s="10"/>
    </row>
    <row r="111" spans="7:8" x14ac:dyDescent="0.3">
      <c r="G111" s="6"/>
    </row>
    <row r="112" spans="7:8" x14ac:dyDescent="0.3">
      <c r="G112" s="9"/>
      <c r="H112" s="10"/>
    </row>
    <row r="113" spans="7:8" x14ac:dyDescent="0.3">
      <c r="G113" s="6"/>
    </row>
    <row r="114" spans="7:8" x14ac:dyDescent="0.3">
      <c r="G114" s="7"/>
      <c r="H114" s="8"/>
    </row>
    <row r="115" spans="7:8" x14ac:dyDescent="0.3">
      <c r="G115" s="9"/>
      <c r="H115" s="10"/>
    </row>
    <row r="116" spans="7:8" x14ac:dyDescent="0.3">
      <c r="G116" s="6"/>
    </row>
    <row r="117" spans="7:8" x14ac:dyDescent="0.3">
      <c r="G117" s="9"/>
      <c r="H117" s="10"/>
    </row>
    <row r="118" spans="7:8" x14ac:dyDescent="0.3">
      <c r="G118" s="6"/>
    </row>
    <row r="119" spans="7:8" x14ac:dyDescent="0.3">
      <c r="G119" s="9"/>
      <c r="H119" s="10"/>
    </row>
    <row r="120" spans="7:8" x14ac:dyDescent="0.3">
      <c r="G120" s="6"/>
    </row>
    <row r="121" spans="7:8" x14ac:dyDescent="0.3">
      <c r="G121" s="6"/>
    </row>
    <row r="122" spans="7:8" x14ac:dyDescent="0.3">
      <c r="G122" s="6"/>
    </row>
    <row r="123" spans="7:8" x14ac:dyDescent="0.3">
      <c r="G123" s="6"/>
    </row>
    <row r="124" spans="7:8" x14ac:dyDescent="0.3">
      <c r="G124" s="7"/>
      <c r="H124" s="8"/>
    </row>
    <row r="125" spans="7:8" x14ac:dyDescent="0.3">
      <c r="G125" s="9"/>
      <c r="H125" s="10"/>
    </row>
    <row r="126" spans="7:8" x14ac:dyDescent="0.3">
      <c r="G12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B5DA-491C-4C1E-A414-23B8C207176D}">
  <dimension ref="A3:E23"/>
  <sheetViews>
    <sheetView workbookViewId="0">
      <selection activeCell="F4" sqref="F4"/>
    </sheetView>
  </sheetViews>
  <sheetFormatPr baseColWidth="10" defaultRowHeight="14.4" x14ac:dyDescent="0.3"/>
  <cols>
    <col min="1" max="1" width="17.5546875" bestFit="1" customWidth="1"/>
    <col min="2" max="2" width="11.109375" bestFit="1" customWidth="1"/>
    <col min="3" max="3" width="13.109375" bestFit="1" customWidth="1"/>
    <col min="4" max="4" width="13.88671875" bestFit="1" customWidth="1"/>
    <col min="5" max="5" width="16.33203125" bestFit="1" customWidth="1"/>
  </cols>
  <sheetData>
    <row r="3" spans="1:5" x14ac:dyDescent="0.3">
      <c r="A3" s="2" t="s">
        <v>73</v>
      </c>
      <c r="B3" t="s">
        <v>90</v>
      </c>
      <c r="C3" t="s">
        <v>91</v>
      </c>
      <c r="D3" t="s">
        <v>92</v>
      </c>
      <c r="E3" t="s">
        <v>85</v>
      </c>
    </row>
    <row r="4" spans="1:5" x14ac:dyDescent="0.3">
      <c r="A4" s="3">
        <v>401910</v>
      </c>
      <c r="B4">
        <v>1</v>
      </c>
      <c r="C4">
        <v>4.1399999999999997</v>
      </c>
      <c r="D4">
        <v>4.3600000000000003</v>
      </c>
      <c r="E4">
        <v>30.6</v>
      </c>
    </row>
    <row r="5" spans="1:5" x14ac:dyDescent="0.3">
      <c r="A5" s="3">
        <v>600622</v>
      </c>
      <c r="B5">
        <v>286</v>
      </c>
      <c r="C5">
        <v>5102.9000000000005</v>
      </c>
      <c r="D5">
        <v>5189.5</v>
      </c>
      <c r="E5">
        <v>60304.86</v>
      </c>
    </row>
    <row r="6" spans="1:5" x14ac:dyDescent="0.3">
      <c r="A6" s="3">
        <v>600632</v>
      </c>
      <c r="B6">
        <v>104</v>
      </c>
      <c r="C6">
        <v>2100.6999999999998</v>
      </c>
      <c r="D6">
        <v>2132</v>
      </c>
      <c r="E6">
        <v>17488.419999999998</v>
      </c>
    </row>
    <row r="7" spans="1:5" x14ac:dyDescent="0.3">
      <c r="A7" s="3">
        <v>600634</v>
      </c>
      <c r="B7">
        <v>27</v>
      </c>
      <c r="C7">
        <v>412.9</v>
      </c>
      <c r="D7">
        <v>421</v>
      </c>
      <c r="E7">
        <v>7002.6</v>
      </c>
    </row>
    <row r="8" spans="1:5" x14ac:dyDescent="0.3">
      <c r="A8" s="3">
        <v>610462</v>
      </c>
      <c r="B8">
        <v>77</v>
      </c>
      <c r="C8">
        <v>1227.1099999999999</v>
      </c>
      <c r="D8">
        <v>1304.1099999999999</v>
      </c>
      <c r="E8">
        <v>19681.560000000001</v>
      </c>
    </row>
    <row r="9" spans="1:5" x14ac:dyDescent="0.3">
      <c r="A9" s="3">
        <v>610910</v>
      </c>
      <c r="B9">
        <v>1</v>
      </c>
      <c r="C9">
        <v>12.64</v>
      </c>
      <c r="D9">
        <v>13.64</v>
      </c>
      <c r="E9">
        <v>224.01</v>
      </c>
    </row>
    <row r="10" spans="1:5" x14ac:dyDescent="0.3">
      <c r="A10" s="3">
        <v>611790</v>
      </c>
      <c r="B10">
        <v>118</v>
      </c>
      <c r="C10">
        <v>1143.46</v>
      </c>
      <c r="D10">
        <v>1215.3499999999999</v>
      </c>
      <c r="E10">
        <v>37997.440000000002</v>
      </c>
    </row>
    <row r="11" spans="1:5" x14ac:dyDescent="0.3">
      <c r="A11" s="3">
        <v>1201244</v>
      </c>
      <c r="B11">
        <v>50</v>
      </c>
      <c r="C11">
        <v>909</v>
      </c>
      <c r="D11">
        <v>918</v>
      </c>
      <c r="E11">
        <v>9136.77</v>
      </c>
    </row>
    <row r="12" spans="1:5" x14ac:dyDescent="0.3">
      <c r="A12" s="3">
        <v>1921438</v>
      </c>
      <c r="B12">
        <v>2</v>
      </c>
      <c r="C12">
        <v>15.01</v>
      </c>
      <c r="D12">
        <v>15.81</v>
      </c>
      <c r="E12">
        <v>462</v>
      </c>
    </row>
    <row r="13" spans="1:5" x14ac:dyDescent="0.3">
      <c r="A13" s="3">
        <v>40021910</v>
      </c>
      <c r="B13">
        <v>37</v>
      </c>
      <c r="C13">
        <v>468.52</v>
      </c>
      <c r="D13">
        <v>506.95</v>
      </c>
      <c r="E13">
        <v>2487.3700000000003</v>
      </c>
    </row>
    <row r="14" spans="1:5" x14ac:dyDescent="0.3">
      <c r="A14" s="3">
        <v>48192000</v>
      </c>
      <c r="B14">
        <v>1</v>
      </c>
      <c r="C14">
        <v>174.5</v>
      </c>
      <c r="D14">
        <v>187</v>
      </c>
      <c r="E14">
        <v>107.63</v>
      </c>
    </row>
    <row r="15" spans="1:5" x14ac:dyDescent="0.3">
      <c r="A15" s="3">
        <v>59019000</v>
      </c>
      <c r="B15">
        <v>1</v>
      </c>
      <c r="C15">
        <v>3.92</v>
      </c>
      <c r="D15">
        <v>4.32</v>
      </c>
      <c r="E15">
        <v>280</v>
      </c>
    </row>
    <row r="16" spans="1:5" x14ac:dyDescent="0.3">
      <c r="A16" s="3">
        <v>85920700</v>
      </c>
      <c r="B16">
        <v>1</v>
      </c>
      <c r="C16">
        <v>0.93</v>
      </c>
      <c r="D16">
        <v>1.33</v>
      </c>
      <c r="E16">
        <v>109.83000000000001</v>
      </c>
    </row>
    <row r="17" spans="1:5" x14ac:dyDescent="0.3">
      <c r="A17" s="3">
        <v>400219101</v>
      </c>
      <c r="B17">
        <v>4</v>
      </c>
      <c r="C17">
        <v>21.560000000000002</v>
      </c>
      <c r="D17">
        <v>23.22</v>
      </c>
      <c r="E17">
        <v>605.61</v>
      </c>
    </row>
    <row r="18" spans="1:5" x14ac:dyDescent="0.3">
      <c r="A18" s="3">
        <v>5808900000</v>
      </c>
      <c r="B18">
        <v>1</v>
      </c>
      <c r="C18">
        <v>1.5</v>
      </c>
      <c r="D18">
        <v>2.5</v>
      </c>
      <c r="E18">
        <v>1.5</v>
      </c>
    </row>
    <row r="19" spans="1:5" x14ac:dyDescent="0.3">
      <c r="A19" s="3">
        <v>7878772099</v>
      </c>
      <c r="B19">
        <v>1</v>
      </c>
      <c r="C19">
        <v>4.87</v>
      </c>
      <c r="D19">
        <v>5.37</v>
      </c>
      <c r="E19">
        <v>18.3</v>
      </c>
    </row>
    <row r="20" spans="1:5" x14ac:dyDescent="0.3">
      <c r="A20" s="3">
        <v>7926964090</v>
      </c>
      <c r="B20">
        <v>2</v>
      </c>
      <c r="C20">
        <v>36.1</v>
      </c>
      <c r="D20">
        <v>37.1</v>
      </c>
      <c r="E20">
        <v>62.7</v>
      </c>
    </row>
    <row r="21" spans="1:5" x14ac:dyDescent="0.3">
      <c r="A21" s="3">
        <v>7926964099</v>
      </c>
      <c r="B21">
        <v>1</v>
      </c>
      <c r="C21">
        <v>25.7</v>
      </c>
      <c r="D21">
        <v>26.2</v>
      </c>
      <c r="E21">
        <v>41.83</v>
      </c>
    </row>
    <row r="22" spans="1:5" x14ac:dyDescent="0.3">
      <c r="A22" s="3">
        <v>7927964170</v>
      </c>
      <c r="B22">
        <v>2</v>
      </c>
      <c r="C22">
        <v>15.68</v>
      </c>
      <c r="D22">
        <v>16.68</v>
      </c>
      <c r="E22">
        <v>120.67999999999999</v>
      </c>
    </row>
    <row r="23" spans="1:5" x14ac:dyDescent="0.3">
      <c r="A23" s="3" t="s">
        <v>74</v>
      </c>
      <c r="B23">
        <v>717</v>
      </c>
      <c r="C23">
        <v>11681.140000000001</v>
      </c>
      <c r="D23">
        <v>12024.44</v>
      </c>
      <c r="E23">
        <v>156163.70999999993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extracción resumen </vt:lpstr>
      <vt:lpstr>factura</vt:lpstr>
      <vt:lpstr>packing</vt:lpstr>
      <vt:lpstr>dinamica factura</vt:lpstr>
      <vt:lpstr>dinamica packing</vt:lpstr>
      <vt:lpstr>union 2 dinamica</vt:lpstr>
      <vt:lpstr>dinamica unin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off365miguelhormigo@outlook.es</dc:creator>
  <cp:lastModifiedBy>Inmaculada Manuela Moncayo García</cp:lastModifiedBy>
  <cp:lastPrinted>2024-01-09T13:03:38Z</cp:lastPrinted>
  <dcterms:created xsi:type="dcterms:W3CDTF">2024-01-09T11:00:01Z</dcterms:created>
  <dcterms:modified xsi:type="dcterms:W3CDTF">2026-05-08T12:11:16Z</dcterms:modified>
</cp:coreProperties>
</file>